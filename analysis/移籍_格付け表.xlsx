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説明" sheetId="1" state="visible" r:id="rId1"/>
    <sheet name="格付け一覧" sheetId="2" state="visible" r:id="rId2"/>
    <sheet name="格上・同格・格下" sheetId="3" state="visible" r:id="rId3"/>
    <sheet name="格の差(早見表)" sheetId="4" state="visible" r:id="rId4"/>
    <sheet name="人気比" sheetId="5" state="visible" r:id="rId5"/>
    <sheet name="単勝回収率_移籍後" sheetId="6" state="visible" r:id="rId6"/>
    <sheet name="単勝回収率_変化" sheetId="7" state="visible" r:id="rId7"/>
    <sheet name="複勝回収率_移籍後" sheetId="8" state="visible" r:id="rId8"/>
    <sheet name="複勝回収率_変化" sheetId="9" state="visible" r:id="rId9"/>
    <sheet name="格の差ごとの集計" sheetId="10" state="visible" r:id="rId10"/>
    <sheet name="組み合わせ詳細" sheetId="11" state="visible" r:id="rId11"/>
  </sheets>
  <definedNames>
    <definedName name="_xlnm._FilterDatabase" localSheetId="10" hidden="1">'組み合わせ詳細'!$A$4:$M$126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+0;-0;0"/>
    <numFmt numFmtId="166" formatCode="+0.0;-0.0;0.0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i val="1"/>
      <color rgb="00595959"/>
    </font>
    <font>
      <name val="Arial"/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8CBAD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80808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2" fillId="6" borderId="1" pivotButton="0" quotePrefix="0" xfId="0"/>
    <xf numFmtId="0" fontId="3" fillId="10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2" fontId="3" fillId="1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1" fontId="3" fillId="10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165" fontId="3" fillId="1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  <xf numFmtId="1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地方競馬 移籍の格付け表</t>
        </is>
      </c>
    </row>
    <row r="3">
      <c r="A3" s="2" t="inlineStr">
        <is>
          <t>データ</t>
        </is>
      </c>
      <c r="B3" s="3" t="inlineStr">
        <is>
          <t>地方競馬 2023年1月〜2026年8月の出走馬・払戻データ、2024年1月〜2026年8月のレース一覧</t>
        </is>
      </c>
    </row>
    <row r="4">
      <c r="A4" s="2" t="inlineStr">
        <is>
          <t>格付け</t>
        </is>
      </c>
      <c r="B4" s="3" t="inlineStr">
        <is>
          <t>1着賞金(C級・B級・A級・重賞)を総合して1部〜4部に分類。ばんえいは平地との移籍がないため除外</t>
        </is>
      </c>
    </row>
    <row r="5">
      <c r="A5" s="2" t="inlineStr">
        <is>
          <t>地区</t>
        </is>
      </c>
      <c r="B5" s="3" t="inlineStr">
        <is>
          <t>調教師所属の単位。兵庫=園田+姫路、岩手=盛岡+水沢、愛知=名古屋、北海道=門別。南関東は4場別</t>
        </is>
      </c>
    </row>
    <row r="6">
      <c r="A6" s="2" t="inlineStr">
        <is>
          <t>移籍の判定</t>
        </is>
      </c>
      <c r="B6" s="3" t="inlineStr">
        <is>
          <t>同じ馬(馬名+生年月日)の前走と所属地区が変わった走を移籍とした</t>
        </is>
      </c>
    </row>
    <row r="7">
      <c r="A7" s="2" t="inlineStr">
        <is>
          <t>移籍前</t>
        </is>
      </c>
      <c r="B7" s="3" t="inlineStr">
        <is>
          <t>元の地区での最後の3戦</t>
        </is>
      </c>
    </row>
    <row r="8">
      <c r="A8" s="2" t="inlineStr">
        <is>
          <t>移籍後</t>
        </is>
      </c>
      <c r="B8" s="3" t="inlineStr">
        <is>
          <t>移籍先での1〜3戦目</t>
        </is>
      </c>
    </row>
    <row r="9">
      <c r="A9" s="2" t="inlineStr">
        <is>
          <t>回収率</t>
        </is>
      </c>
      <c r="B9" s="3" t="inlineStr">
        <is>
          <t>全出走に100円ずつ賭けた場合の回収率(%)。確定オッズによる過去実績</t>
        </is>
      </c>
    </row>
    <row r="10">
      <c r="A10" s="2" t="inlineStr">
        <is>
          <t>回収率の変化</t>
        </is>
      </c>
      <c r="B10" s="3" t="inlineStr">
        <is>
          <t>移籍後の回収率 − 移籍前の回収率(ポイント)。地方間移籍の全体平均は単勝+25・複勝+21で、これが基準</t>
        </is>
      </c>
    </row>
    <row r="11">
      <c r="A11" s="2" t="inlineStr">
        <is>
          <t>人気比</t>
        </is>
      </c>
      <c r="B11" s="3" t="inlineStr">
        <is>
          <t>移籍後の複勝率 ÷ 同じ競馬場・同じ人気の馬の平均複勝率。1.00=人気どおり、1.10以上=人気以上、0.90以下=人気以下</t>
        </is>
      </c>
    </row>
    <row r="12">
      <c r="A12" s="2" t="inlineStr">
        <is>
          <t>空欄</t>
        </is>
      </c>
      <c r="B12" s="3" t="inlineStr">
        <is>
          <t>移籍後の出走数が80走未満の組み合わせ(数値が不安定なため表示しない)</t>
        </is>
      </c>
    </row>
    <row r="13">
      <c r="A13" s="2" t="inlineStr">
        <is>
          <t>色</t>
        </is>
      </c>
      <c r="B13" s="3" t="inlineStr">
        <is>
          <t>格上へ=赤系、同格=灰、格下へ=緑系。数値の表は、高いほど緑・低いほど赤のカラースケール</t>
        </is>
      </c>
    </row>
    <row r="14">
      <c r="A14" s="2" t="inlineStr">
        <is>
          <t>注意</t>
        </is>
      </c>
      <c r="B14" s="3" t="inlineStr">
        <is>
          <t>単勝回収率は1頭の高配当で大きく振れるため、組み合わせごとの判断は複勝回収率と人気比を優先する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18" customWidth="1" min="3" max="3"/>
    <col width="9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2" customWidth="1" min="10" max="10"/>
    <col width="12" customWidth="1" min="11" max="11"/>
  </cols>
  <sheetData>
    <row r="1">
      <c r="A1" s="1" t="inlineStr">
        <is>
          <t>地区の規模ランキング(1着賞金、単位: 万円)</t>
        </is>
      </c>
    </row>
    <row r="2">
      <c r="A2" s="4" t="inlineStr">
        <is>
          <t>出典: 2024年1月〜2026年8月のレース一覧。順位はC・B・A級と重賞の賞金を総合して決定</t>
        </is>
      </c>
    </row>
    <row r="4">
      <c r="A4" s="5" t="inlineStr">
        <is>
          <t>順位</t>
        </is>
      </c>
      <c r="B4" s="5" t="inlineStr">
        <is>
          <t>格</t>
        </is>
      </c>
      <c r="C4" s="5" t="inlineStr">
        <is>
          <t>地区</t>
        </is>
      </c>
      <c r="D4" s="5" t="inlineStr">
        <is>
          <t>C級</t>
        </is>
      </c>
      <c r="E4" s="5" t="inlineStr">
        <is>
          <t>B級</t>
        </is>
      </c>
      <c r="F4" s="5" t="inlineStr">
        <is>
          <t>A級</t>
        </is>
      </c>
      <c r="G4" s="5" t="inlineStr">
        <is>
          <t>重賞</t>
        </is>
      </c>
      <c r="H4" s="5" t="inlineStr">
        <is>
          <t>全レース中央値</t>
        </is>
      </c>
      <c r="I4" s="5" t="inlineStr">
        <is>
          <t>1着賞金総額(億円/年)</t>
        </is>
      </c>
      <c r="J4" s="5" t="inlineStr">
        <is>
          <t>年間レース数</t>
        </is>
      </c>
      <c r="K4" s="5" t="inlineStr">
        <is>
          <t>在籍頭数(年)</t>
        </is>
      </c>
    </row>
    <row r="5">
      <c r="A5" s="6" t="n">
        <v>1</v>
      </c>
      <c r="B5" s="6" t="inlineStr">
        <is>
          <t>1部</t>
        </is>
      </c>
      <c r="C5" s="6" t="inlineStr">
        <is>
          <t>大井</t>
        </is>
      </c>
      <c r="D5" s="7" t="n">
        <v>100</v>
      </c>
      <c r="E5" s="7" t="n">
        <v>400</v>
      </c>
      <c r="F5" s="7" t="n">
        <v>620</v>
      </c>
      <c r="G5" s="7" t="n">
        <v>2200</v>
      </c>
      <c r="H5" s="7" t="n">
        <v>170</v>
      </c>
      <c r="I5" s="8" t="n">
        <v>33.4</v>
      </c>
      <c r="J5" s="7" t="n">
        <v>1128</v>
      </c>
      <c r="K5" s="7" t="n">
        <v>2188</v>
      </c>
    </row>
    <row r="6">
      <c r="A6" s="6" t="n">
        <v>2</v>
      </c>
      <c r="B6" s="6" t="inlineStr">
        <is>
          <t>1部</t>
        </is>
      </c>
      <c r="C6" s="6" t="inlineStr">
        <is>
          <t>船橋</t>
        </is>
      </c>
      <c r="D6" s="7" t="n">
        <v>120</v>
      </c>
      <c r="E6" s="7" t="n">
        <v>300</v>
      </c>
      <c r="F6" s="7" t="n">
        <v>500</v>
      </c>
      <c r="G6" s="7" t="n">
        <v>1700</v>
      </c>
      <c r="H6" s="7" t="n">
        <v>180</v>
      </c>
      <c r="I6" s="8" t="n">
        <v>20.6</v>
      </c>
      <c r="J6" s="7" t="n">
        <v>764</v>
      </c>
      <c r="K6" s="7" t="n">
        <v>2020</v>
      </c>
    </row>
    <row r="7">
      <c r="A7" s="6" t="n">
        <v>3</v>
      </c>
      <c r="B7" s="6" t="inlineStr">
        <is>
          <t>1部</t>
        </is>
      </c>
      <c r="C7" s="6" t="inlineStr">
        <is>
          <t>浦和</t>
        </is>
      </c>
      <c r="D7" s="7" t="n">
        <v>100</v>
      </c>
      <c r="E7" s="7" t="n">
        <v>300</v>
      </c>
      <c r="F7" s="7" t="n">
        <v>500</v>
      </c>
      <c r="G7" s="7" t="n">
        <v>1200</v>
      </c>
      <c r="H7" s="7" t="n">
        <v>150</v>
      </c>
      <c r="I7" s="8" t="n">
        <v>15.2</v>
      </c>
      <c r="J7" s="7" t="n">
        <v>674</v>
      </c>
      <c r="K7" s="7" t="n">
        <v>1901</v>
      </c>
    </row>
    <row r="8">
      <c r="A8" s="6" t="n">
        <v>4</v>
      </c>
      <c r="B8" s="6" t="inlineStr">
        <is>
          <t>1部</t>
        </is>
      </c>
      <c r="C8" s="6" t="inlineStr">
        <is>
          <t>川崎</t>
        </is>
      </c>
      <c r="D8" s="7" t="n">
        <v>100</v>
      </c>
      <c r="E8" s="7" t="n">
        <v>240</v>
      </c>
      <c r="F8" s="7" t="n">
        <v>400</v>
      </c>
      <c r="G8" s="7" t="n">
        <v>1200</v>
      </c>
      <c r="H8" s="7" t="n">
        <v>150</v>
      </c>
      <c r="I8" s="8" t="n">
        <v>18.2</v>
      </c>
      <c r="J8" s="7" t="n">
        <v>764</v>
      </c>
      <c r="K8" s="7" t="n">
        <v>2077</v>
      </c>
    </row>
    <row r="9">
      <c r="A9" s="9" t="n">
        <v>5</v>
      </c>
      <c r="B9" s="9" t="inlineStr">
        <is>
          <t>2部</t>
        </is>
      </c>
      <c r="C9" s="9" t="inlineStr">
        <is>
          <t>兵庫(園田・姫路)</t>
        </is>
      </c>
      <c r="D9" s="7" t="n">
        <v>70</v>
      </c>
      <c r="E9" s="7" t="n">
        <v>150</v>
      </c>
      <c r="F9" s="7" t="n">
        <v>270</v>
      </c>
      <c r="G9" s="7" t="n">
        <v>1000</v>
      </c>
      <c r="H9" s="7" t="n">
        <v>70</v>
      </c>
      <c r="I9" s="8" t="n">
        <v>22</v>
      </c>
      <c r="J9" s="7" t="n">
        <v>1906</v>
      </c>
      <c r="K9" s="7" t="n">
        <v>2291</v>
      </c>
    </row>
    <row r="10">
      <c r="A10" s="9" t="n">
        <v>6</v>
      </c>
      <c r="B10" s="9" t="inlineStr">
        <is>
          <t>2部</t>
        </is>
      </c>
      <c r="C10" s="9" t="inlineStr">
        <is>
          <t>高知</t>
        </is>
      </c>
      <c r="D10" s="7" t="n">
        <v>60</v>
      </c>
      <c r="E10" s="7" t="n">
        <v>120</v>
      </c>
      <c r="F10" s="7" t="n">
        <v>160</v>
      </c>
      <c r="G10" s="7" t="n">
        <v>500</v>
      </c>
      <c r="H10" s="7" t="n">
        <v>70</v>
      </c>
      <c r="I10" s="8" t="n">
        <v>13.4</v>
      </c>
      <c r="J10" s="7" t="n">
        <v>1169</v>
      </c>
      <c r="K10" s="7" t="n">
        <v>1148</v>
      </c>
    </row>
    <row r="11">
      <c r="A11" s="10" t="n">
        <v>7</v>
      </c>
      <c r="B11" s="10" t="inlineStr">
        <is>
          <t>3部</t>
        </is>
      </c>
      <c r="C11" s="10" t="inlineStr">
        <is>
          <t>愛知(名古屋)</t>
        </is>
      </c>
      <c r="D11" s="7" t="n">
        <v>55</v>
      </c>
      <c r="E11" s="7" t="n">
        <v>65</v>
      </c>
      <c r="F11" s="7" t="n">
        <v>120</v>
      </c>
      <c r="G11" s="7" t="n">
        <v>800</v>
      </c>
      <c r="H11" s="7" t="n">
        <v>57</v>
      </c>
      <c r="I11" s="8" t="n">
        <v>12.3</v>
      </c>
      <c r="J11" s="7" t="n">
        <v>1390</v>
      </c>
      <c r="K11" s="7" t="n">
        <v>1844</v>
      </c>
    </row>
    <row r="12">
      <c r="A12" s="10" t="n">
        <v>8</v>
      </c>
      <c r="B12" s="10" t="inlineStr">
        <is>
          <t>3部</t>
        </is>
      </c>
      <c r="C12" s="10" t="inlineStr">
        <is>
          <t>岩手(盛岡・水沢)</t>
        </is>
      </c>
      <c r="D12" s="7" t="n">
        <v>40</v>
      </c>
      <c r="E12" s="7" t="n">
        <v>75</v>
      </c>
      <c r="F12" s="7" t="n">
        <v>140</v>
      </c>
      <c r="G12" s="7" t="n">
        <v>500</v>
      </c>
      <c r="H12" s="7" t="n">
        <v>50</v>
      </c>
      <c r="I12" s="8" t="n">
        <v>12.7</v>
      </c>
      <c r="J12" s="7" t="n">
        <v>1489</v>
      </c>
      <c r="K12" s="7" t="n">
        <v>1541</v>
      </c>
    </row>
    <row r="13">
      <c r="A13" s="10" t="n">
        <v>9</v>
      </c>
      <c r="B13" s="10" t="inlineStr">
        <is>
          <t>3部</t>
        </is>
      </c>
      <c r="C13" s="10" t="inlineStr">
        <is>
          <t>北海道(門別)</t>
        </is>
      </c>
      <c r="D13" s="7" t="n">
        <v>40</v>
      </c>
      <c r="E13" s="7" t="n">
        <v>65</v>
      </c>
      <c r="F13" s="7" t="n">
        <v>100</v>
      </c>
      <c r="G13" s="7" t="n">
        <v>500</v>
      </c>
      <c r="H13" s="7" t="n">
        <v>55</v>
      </c>
      <c r="I13" s="8" t="n">
        <v>10.3</v>
      </c>
      <c r="J13" s="7" t="n">
        <v>982</v>
      </c>
      <c r="K13" s="7" t="n">
        <v>1338</v>
      </c>
    </row>
    <row r="14">
      <c r="A14" s="11" t="n">
        <v>10</v>
      </c>
      <c r="B14" s="11" t="inlineStr">
        <is>
          <t>4部</t>
        </is>
      </c>
      <c r="C14" s="11" t="inlineStr">
        <is>
          <t>金沢</t>
        </is>
      </c>
      <c r="D14" s="7" t="n">
        <v>43</v>
      </c>
      <c r="E14" s="7" t="n">
        <v>50</v>
      </c>
      <c r="F14" s="7" t="n">
        <v>90</v>
      </c>
      <c r="G14" s="7" t="n">
        <v>300</v>
      </c>
      <c r="H14" s="7" t="n">
        <v>45</v>
      </c>
      <c r="I14" s="8" t="n">
        <v>6.5</v>
      </c>
      <c r="J14" s="7" t="n">
        <v>980</v>
      </c>
      <c r="K14" s="7" t="n">
        <v>1003</v>
      </c>
    </row>
    <row r="15">
      <c r="A15" s="11" t="n">
        <v>11</v>
      </c>
      <c r="B15" s="11" t="inlineStr">
        <is>
          <t>4部</t>
        </is>
      </c>
      <c r="C15" s="11" t="inlineStr">
        <is>
          <t>佐賀</t>
        </is>
      </c>
      <c r="D15" s="7" t="n">
        <v>40</v>
      </c>
      <c r="E15" s="7" t="n">
        <v>50</v>
      </c>
      <c r="F15" s="7" t="n">
        <v>90</v>
      </c>
      <c r="G15" s="7" t="n">
        <v>250</v>
      </c>
      <c r="H15" s="7" t="n">
        <v>43</v>
      </c>
      <c r="I15" s="8" t="n">
        <v>10.6</v>
      </c>
      <c r="J15" s="7" t="n">
        <v>1254</v>
      </c>
      <c r="K15" s="7" t="n">
        <v>1538</v>
      </c>
    </row>
    <row r="16">
      <c r="A16" s="11" t="n">
        <v>12</v>
      </c>
      <c r="B16" s="11" t="inlineStr">
        <is>
          <t>4部</t>
        </is>
      </c>
      <c r="C16" s="11" t="inlineStr">
        <is>
          <t>笠松</t>
        </is>
      </c>
      <c r="D16" s="7" t="n">
        <v>40</v>
      </c>
      <c r="E16" s="7" t="n">
        <v>45</v>
      </c>
      <c r="F16" s="7" t="n">
        <v>80</v>
      </c>
      <c r="G16" s="7" t="n">
        <v>400</v>
      </c>
      <c r="H16" s="7" t="n">
        <v>45</v>
      </c>
      <c r="I16" s="8" t="n">
        <v>6.9</v>
      </c>
      <c r="J16" s="7" t="n">
        <v>1040</v>
      </c>
      <c r="K16" s="7" t="n">
        <v>1120</v>
      </c>
    </row>
    <row r="17">
      <c r="A17" s="12" t="inlineStr">
        <is>
          <t>―</t>
        </is>
      </c>
      <c r="B17" s="12" t="inlineStr">
        <is>
          <t>別枠</t>
        </is>
      </c>
      <c r="C17" s="12" t="inlineStr">
        <is>
          <t>ばんえい</t>
        </is>
      </c>
      <c r="D17" s="7" t="n">
        <v>28</v>
      </c>
      <c r="E17" s="7" t="n">
        <v>32</v>
      </c>
      <c r="F17" s="7" t="n">
        <v>58</v>
      </c>
      <c r="G17" s="7" t="n">
        <v>250</v>
      </c>
      <c r="H17" s="7" t="n">
        <v>31</v>
      </c>
      <c r="I17" s="8" t="n">
        <v>7.1</v>
      </c>
      <c r="J17" s="7" t="n">
        <v>1745</v>
      </c>
      <c r="K17" s="7" t="n">
        <v>1007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40" customWidth="1" min="3" max="3"/>
    <col width="24" customWidth="1" min="4" max="4"/>
    <col width="52" customWidth="1" min="5" max="5"/>
  </cols>
  <sheetData>
    <row r="1">
      <c r="A1" s="1" t="inlineStr">
        <is>
          <t>地区ごとの 格上・ほぼ同格・格下</t>
        </is>
      </c>
    </row>
    <row r="2">
      <c r="A2" s="4" t="inlineStr">
        <is>
          <t>実績上の補足: 兵庫は格付け以上に厳しく、大井は南関東の中でも一段上</t>
        </is>
      </c>
    </row>
    <row r="4">
      <c r="A4" s="5" t="inlineStr">
        <is>
          <t>地区</t>
        </is>
      </c>
      <c r="B4" s="5" t="inlineStr">
        <is>
          <t>格</t>
        </is>
      </c>
      <c r="C4" s="5" t="inlineStr">
        <is>
          <t>格上</t>
        </is>
      </c>
      <c r="D4" s="5" t="inlineStr">
        <is>
          <t>ほぼ同格</t>
        </is>
      </c>
      <c r="E4" s="5" t="inlineStr">
        <is>
          <t>格下</t>
        </is>
      </c>
    </row>
    <row r="5">
      <c r="A5" s="12" t="inlineStr">
        <is>
          <t>大井</t>
        </is>
      </c>
      <c r="B5" s="12" t="inlineStr">
        <is>
          <t>1部</t>
        </is>
      </c>
      <c r="C5" s="13" t="inlineStr">
        <is>
          <t>―</t>
        </is>
      </c>
      <c r="D5" s="14" t="inlineStr">
        <is>
          <t>船橋・浦和・川崎</t>
        </is>
      </c>
      <c r="E5" s="15" t="inlineStr">
        <is>
          <t>兵庫・高知・愛知・岩手・北海道・金沢・佐賀・笠松</t>
        </is>
      </c>
    </row>
    <row r="6">
      <c r="A6" s="12" t="inlineStr">
        <is>
          <t>船橋</t>
        </is>
      </c>
      <c r="B6" s="12" t="inlineStr">
        <is>
          <t>1部</t>
        </is>
      </c>
      <c r="C6" s="13" t="inlineStr">
        <is>
          <t>―</t>
        </is>
      </c>
      <c r="D6" s="14" t="inlineStr">
        <is>
          <t>大井・浦和・川崎</t>
        </is>
      </c>
      <c r="E6" s="15" t="inlineStr">
        <is>
          <t>兵庫・高知・愛知・岩手・北海道・金沢・佐賀・笠松</t>
        </is>
      </c>
    </row>
    <row r="7">
      <c r="A7" s="12" t="inlineStr">
        <is>
          <t>浦和</t>
        </is>
      </c>
      <c r="B7" s="12" t="inlineStr">
        <is>
          <t>1部</t>
        </is>
      </c>
      <c r="C7" s="13" t="inlineStr">
        <is>
          <t>―</t>
        </is>
      </c>
      <c r="D7" s="14" t="inlineStr">
        <is>
          <t>大井・船橋・川崎</t>
        </is>
      </c>
      <c r="E7" s="15" t="inlineStr">
        <is>
          <t>兵庫・高知・愛知・岩手・北海道・金沢・佐賀・笠松</t>
        </is>
      </c>
    </row>
    <row r="8">
      <c r="A8" s="12" t="inlineStr">
        <is>
          <t>川崎</t>
        </is>
      </c>
      <c r="B8" s="12" t="inlineStr">
        <is>
          <t>1部</t>
        </is>
      </c>
      <c r="C8" s="13" t="inlineStr">
        <is>
          <t>―</t>
        </is>
      </c>
      <c r="D8" s="14" t="inlineStr">
        <is>
          <t>大井・船橋・浦和</t>
        </is>
      </c>
      <c r="E8" s="15" t="inlineStr">
        <is>
          <t>兵庫・高知・愛知・岩手・北海道・金沢・佐賀・笠松</t>
        </is>
      </c>
    </row>
    <row r="9">
      <c r="A9" s="12" t="inlineStr">
        <is>
          <t>兵庫(園田・姫路)</t>
        </is>
      </c>
      <c r="B9" s="12" t="inlineStr">
        <is>
          <t>2部</t>
        </is>
      </c>
      <c r="C9" s="13" t="inlineStr">
        <is>
          <t>大井・船橋・浦和・川崎</t>
        </is>
      </c>
      <c r="D9" s="14" t="inlineStr">
        <is>
          <t>高知</t>
        </is>
      </c>
      <c r="E9" s="15" t="inlineStr">
        <is>
          <t>愛知・岩手・北海道・金沢・佐賀・笠松</t>
        </is>
      </c>
    </row>
    <row r="10">
      <c r="A10" s="12" t="inlineStr">
        <is>
          <t>高知</t>
        </is>
      </c>
      <c r="B10" s="12" t="inlineStr">
        <is>
          <t>2部</t>
        </is>
      </c>
      <c r="C10" s="13" t="inlineStr">
        <is>
          <t>大井・船橋・浦和・川崎</t>
        </is>
      </c>
      <c r="D10" s="14" t="inlineStr">
        <is>
          <t>兵庫</t>
        </is>
      </c>
      <c r="E10" s="15" t="inlineStr">
        <is>
          <t>愛知・岩手・北海道・金沢・佐賀・笠松</t>
        </is>
      </c>
    </row>
    <row r="11">
      <c r="A11" s="12" t="inlineStr">
        <is>
          <t>愛知(名古屋)</t>
        </is>
      </c>
      <c r="B11" s="12" t="inlineStr">
        <is>
          <t>3部</t>
        </is>
      </c>
      <c r="C11" s="13" t="inlineStr">
        <is>
          <t>大井・船橋・浦和・川崎・兵庫・高知</t>
        </is>
      </c>
      <c r="D11" s="14" t="inlineStr">
        <is>
          <t>岩手・北海道</t>
        </is>
      </c>
      <c r="E11" s="15" t="inlineStr">
        <is>
          <t>金沢・佐賀・笠松</t>
        </is>
      </c>
    </row>
    <row r="12">
      <c r="A12" s="12" t="inlineStr">
        <is>
          <t>岩手(盛岡・水沢)</t>
        </is>
      </c>
      <c r="B12" s="12" t="inlineStr">
        <is>
          <t>3部</t>
        </is>
      </c>
      <c r="C12" s="13" t="inlineStr">
        <is>
          <t>大井・船橋・浦和・川崎・兵庫・高知</t>
        </is>
      </c>
      <c r="D12" s="14" t="inlineStr">
        <is>
          <t>愛知・北海道</t>
        </is>
      </c>
      <c r="E12" s="15" t="inlineStr">
        <is>
          <t>金沢・佐賀・笠松</t>
        </is>
      </c>
    </row>
    <row r="13">
      <c r="A13" s="12" t="inlineStr">
        <is>
          <t>北海道(門別)</t>
        </is>
      </c>
      <c r="B13" s="12" t="inlineStr">
        <is>
          <t>3部</t>
        </is>
      </c>
      <c r="C13" s="13" t="inlineStr">
        <is>
          <t>大井・船橋・浦和・川崎・兵庫・高知</t>
        </is>
      </c>
      <c r="D13" s="14" t="inlineStr">
        <is>
          <t>愛知・岩手</t>
        </is>
      </c>
      <c r="E13" s="15" t="inlineStr">
        <is>
          <t>金沢・佐賀・笠松</t>
        </is>
      </c>
    </row>
    <row r="14">
      <c r="A14" s="12" t="inlineStr">
        <is>
          <t>金沢</t>
        </is>
      </c>
      <c r="B14" s="12" t="inlineStr">
        <is>
          <t>4部</t>
        </is>
      </c>
      <c r="C14" s="13" t="inlineStr">
        <is>
          <t>大井・船橋・浦和・川崎・兵庫・高知・愛知・岩手・北海道</t>
        </is>
      </c>
      <c r="D14" s="14" t="inlineStr">
        <is>
          <t>佐賀・笠松</t>
        </is>
      </c>
      <c r="E14" s="15" t="inlineStr">
        <is>
          <t>―</t>
        </is>
      </c>
    </row>
    <row r="15">
      <c r="A15" s="12" t="inlineStr">
        <is>
          <t>佐賀</t>
        </is>
      </c>
      <c r="B15" s="12" t="inlineStr">
        <is>
          <t>4部</t>
        </is>
      </c>
      <c r="C15" s="13" t="inlineStr">
        <is>
          <t>大井・船橋・浦和・川崎・兵庫・高知・愛知・岩手・北海道</t>
        </is>
      </c>
      <c r="D15" s="14" t="inlineStr">
        <is>
          <t>金沢・笠松</t>
        </is>
      </c>
      <c r="E15" s="15" t="inlineStr">
        <is>
          <t>―</t>
        </is>
      </c>
    </row>
    <row r="16">
      <c r="A16" s="12" t="inlineStr">
        <is>
          <t>笠松</t>
        </is>
      </c>
      <c r="B16" s="12" t="inlineStr">
        <is>
          <t>4部</t>
        </is>
      </c>
      <c r="C16" s="13" t="inlineStr">
        <is>
          <t>大井・船橋・浦和・川崎・兵庫・高知・愛知・岩手・北海道</t>
        </is>
      </c>
      <c r="D16" s="14" t="inlineStr">
        <is>
          <t>金沢・佐賀</t>
        </is>
      </c>
      <c r="E16" s="15" t="inlineStr">
        <is>
          <t>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移籍元 × 移籍先: 格の差</t>
        </is>
      </c>
    </row>
    <row r="2">
      <c r="A2" s="4" t="inlineStr">
        <is>
          <t>↑=格上へ ↑↑=2段以上格上へ ＝=同格 ↓=格下へ ↓↓=2段以上格下へ</t>
        </is>
      </c>
    </row>
    <row r="4">
      <c r="A4" s="5" t="inlineStr">
        <is>
          <t>移籍元 ＼ 移籍先</t>
        </is>
      </c>
      <c r="B4" s="5" t="inlineStr">
        <is>
          <t>大井</t>
        </is>
      </c>
      <c r="C4" s="5" t="inlineStr">
        <is>
          <t>船橋</t>
        </is>
      </c>
      <c r="D4" s="5" t="inlineStr">
        <is>
          <t>浦和</t>
        </is>
      </c>
      <c r="E4" s="5" t="inlineStr">
        <is>
          <t>川崎</t>
        </is>
      </c>
      <c r="F4" s="5" t="inlineStr">
        <is>
          <t>兵庫</t>
        </is>
      </c>
      <c r="G4" s="5" t="inlineStr">
        <is>
          <t>高知</t>
        </is>
      </c>
      <c r="H4" s="5" t="inlineStr">
        <is>
          <t>愛知</t>
        </is>
      </c>
      <c r="I4" s="5" t="inlineStr">
        <is>
          <t>岩手</t>
        </is>
      </c>
      <c r="J4" s="5" t="inlineStr">
        <is>
          <t>北海道</t>
        </is>
      </c>
      <c r="K4" s="5" t="inlineStr">
        <is>
          <t>金沢</t>
        </is>
      </c>
      <c r="L4" s="5" t="inlineStr">
        <is>
          <t>佐賀</t>
        </is>
      </c>
      <c r="M4" s="5" t="inlineStr">
        <is>
          <t>笠松</t>
        </is>
      </c>
    </row>
    <row r="5">
      <c r="A5" s="16" t="inlineStr">
        <is>
          <t>大井</t>
        </is>
      </c>
      <c r="B5" s="17" t="n"/>
      <c r="C5" s="18" t="inlineStr">
        <is>
          <t>＝ 同格</t>
        </is>
      </c>
      <c r="D5" s="18" t="inlineStr">
        <is>
          <t>＝ 同格</t>
        </is>
      </c>
      <c r="E5" s="18" t="inlineStr">
        <is>
          <t>＝ 同格</t>
        </is>
      </c>
      <c r="F5" s="19" t="inlineStr">
        <is>
          <t>↓ 格下へ</t>
        </is>
      </c>
      <c r="G5" s="19" t="inlineStr">
        <is>
          <t>↓ 格下へ</t>
        </is>
      </c>
      <c r="H5" s="19" t="inlineStr">
        <is>
          <t>↓↓ 格下へ</t>
        </is>
      </c>
      <c r="I5" s="19" t="inlineStr">
        <is>
          <t>↓↓ 格下へ</t>
        </is>
      </c>
      <c r="J5" s="19" t="inlineStr">
        <is>
          <t>↓↓ 格下へ</t>
        </is>
      </c>
      <c r="K5" s="19" t="inlineStr">
        <is>
          <t>↓↓ 格下へ</t>
        </is>
      </c>
      <c r="L5" s="19" t="inlineStr">
        <is>
          <t>↓↓ 格下へ</t>
        </is>
      </c>
      <c r="M5" s="19" t="inlineStr">
        <is>
          <t>↓↓ 格下へ</t>
        </is>
      </c>
    </row>
    <row r="6">
      <c r="A6" s="16" t="inlineStr">
        <is>
          <t>船橋</t>
        </is>
      </c>
      <c r="B6" s="18" t="inlineStr">
        <is>
          <t>＝ 同格</t>
        </is>
      </c>
      <c r="C6" s="17" t="n"/>
      <c r="D6" s="18" t="inlineStr">
        <is>
          <t>＝ 同格</t>
        </is>
      </c>
      <c r="E6" s="18" t="inlineStr">
        <is>
          <t>＝ 同格</t>
        </is>
      </c>
      <c r="F6" s="19" t="inlineStr">
        <is>
          <t>↓ 格下へ</t>
        </is>
      </c>
      <c r="G6" s="19" t="inlineStr">
        <is>
          <t>↓ 格下へ</t>
        </is>
      </c>
      <c r="H6" s="19" t="inlineStr">
        <is>
          <t>↓↓ 格下へ</t>
        </is>
      </c>
      <c r="I6" s="19" t="inlineStr">
        <is>
          <t>↓↓ 格下へ</t>
        </is>
      </c>
      <c r="J6" s="19" t="inlineStr">
        <is>
          <t>↓↓ 格下へ</t>
        </is>
      </c>
      <c r="K6" s="19" t="inlineStr">
        <is>
          <t>↓↓ 格下へ</t>
        </is>
      </c>
      <c r="L6" s="19" t="inlineStr">
        <is>
          <t>↓↓ 格下へ</t>
        </is>
      </c>
      <c r="M6" s="19" t="inlineStr">
        <is>
          <t>↓↓ 格下へ</t>
        </is>
      </c>
    </row>
    <row r="7">
      <c r="A7" s="16" t="inlineStr">
        <is>
          <t>浦和</t>
        </is>
      </c>
      <c r="B7" s="18" t="inlineStr">
        <is>
          <t>＝ 同格</t>
        </is>
      </c>
      <c r="C7" s="18" t="inlineStr">
        <is>
          <t>＝ 同格</t>
        </is>
      </c>
      <c r="D7" s="17" t="n"/>
      <c r="E7" s="18" t="inlineStr">
        <is>
          <t>＝ 同格</t>
        </is>
      </c>
      <c r="F7" s="19" t="inlineStr">
        <is>
          <t>↓ 格下へ</t>
        </is>
      </c>
      <c r="G7" s="19" t="inlineStr">
        <is>
          <t>↓ 格下へ</t>
        </is>
      </c>
      <c r="H7" s="19" t="inlineStr">
        <is>
          <t>↓↓ 格下へ</t>
        </is>
      </c>
      <c r="I7" s="19" t="inlineStr">
        <is>
          <t>↓↓ 格下へ</t>
        </is>
      </c>
      <c r="J7" s="19" t="inlineStr">
        <is>
          <t>↓↓ 格下へ</t>
        </is>
      </c>
      <c r="K7" s="19" t="inlineStr">
        <is>
          <t>↓↓ 格下へ</t>
        </is>
      </c>
      <c r="L7" s="19" t="inlineStr">
        <is>
          <t>↓↓ 格下へ</t>
        </is>
      </c>
      <c r="M7" s="19" t="inlineStr">
        <is>
          <t>↓↓ 格下へ</t>
        </is>
      </c>
    </row>
    <row r="8">
      <c r="A8" s="16" t="inlineStr">
        <is>
          <t>川崎</t>
        </is>
      </c>
      <c r="B8" s="18" t="inlineStr">
        <is>
          <t>＝ 同格</t>
        </is>
      </c>
      <c r="C8" s="18" t="inlineStr">
        <is>
          <t>＝ 同格</t>
        </is>
      </c>
      <c r="D8" s="18" t="inlineStr">
        <is>
          <t>＝ 同格</t>
        </is>
      </c>
      <c r="E8" s="17" t="n"/>
      <c r="F8" s="19" t="inlineStr">
        <is>
          <t>↓ 格下へ</t>
        </is>
      </c>
      <c r="G8" s="19" t="inlineStr">
        <is>
          <t>↓ 格下へ</t>
        </is>
      </c>
      <c r="H8" s="19" t="inlineStr">
        <is>
          <t>↓↓ 格下へ</t>
        </is>
      </c>
      <c r="I8" s="19" t="inlineStr">
        <is>
          <t>↓↓ 格下へ</t>
        </is>
      </c>
      <c r="J8" s="19" t="inlineStr">
        <is>
          <t>↓↓ 格下へ</t>
        </is>
      </c>
      <c r="K8" s="19" t="inlineStr">
        <is>
          <t>↓↓ 格下へ</t>
        </is>
      </c>
      <c r="L8" s="19" t="inlineStr">
        <is>
          <t>↓↓ 格下へ</t>
        </is>
      </c>
      <c r="M8" s="19" t="inlineStr">
        <is>
          <t>↓↓ 格下へ</t>
        </is>
      </c>
    </row>
    <row r="9">
      <c r="A9" s="16" t="inlineStr">
        <is>
          <t>兵庫</t>
        </is>
      </c>
      <c r="B9" s="20" t="inlineStr">
        <is>
          <t>↑ 格上へ</t>
        </is>
      </c>
      <c r="C9" s="20" t="inlineStr">
        <is>
          <t>↑ 格上へ</t>
        </is>
      </c>
      <c r="D9" s="20" t="inlineStr">
        <is>
          <t>↑ 格上へ</t>
        </is>
      </c>
      <c r="E9" s="20" t="inlineStr">
        <is>
          <t>↑ 格上へ</t>
        </is>
      </c>
      <c r="F9" s="17" t="n"/>
      <c r="G9" s="18" t="inlineStr">
        <is>
          <t>＝ 同格</t>
        </is>
      </c>
      <c r="H9" s="19" t="inlineStr">
        <is>
          <t>↓ 格下へ</t>
        </is>
      </c>
      <c r="I9" s="19" t="inlineStr">
        <is>
          <t>↓ 格下へ</t>
        </is>
      </c>
      <c r="J9" s="19" t="inlineStr">
        <is>
          <t>↓ 格下へ</t>
        </is>
      </c>
      <c r="K9" s="19" t="inlineStr">
        <is>
          <t>↓↓ 格下へ</t>
        </is>
      </c>
      <c r="L9" s="19" t="inlineStr">
        <is>
          <t>↓↓ 格下へ</t>
        </is>
      </c>
      <c r="M9" s="19" t="inlineStr">
        <is>
          <t>↓↓ 格下へ</t>
        </is>
      </c>
    </row>
    <row r="10">
      <c r="A10" s="16" t="inlineStr">
        <is>
          <t>高知</t>
        </is>
      </c>
      <c r="B10" s="20" t="inlineStr">
        <is>
          <t>↑ 格上へ</t>
        </is>
      </c>
      <c r="C10" s="20" t="inlineStr">
        <is>
          <t>↑ 格上へ</t>
        </is>
      </c>
      <c r="D10" s="20" t="inlineStr">
        <is>
          <t>↑ 格上へ</t>
        </is>
      </c>
      <c r="E10" s="20" t="inlineStr">
        <is>
          <t>↑ 格上へ</t>
        </is>
      </c>
      <c r="F10" s="18" t="inlineStr">
        <is>
          <t>＝ 同格</t>
        </is>
      </c>
      <c r="G10" s="17" t="n"/>
      <c r="H10" s="19" t="inlineStr">
        <is>
          <t>↓ 格下へ</t>
        </is>
      </c>
      <c r="I10" s="19" t="inlineStr">
        <is>
          <t>↓ 格下へ</t>
        </is>
      </c>
      <c r="J10" s="19" t="inlineStr">
        <is>
          <t>↓ 格下へ</t>
        </is>
      </c>
      <c r="K10" s="19" t="inlineStr">
        <is>
          <t>↓↓ 格下へ</t>
        </is>
      </c>
      <c r="L10" s="19" t="inlineStr">
        <is>
          <t>↓↓ 格下へ</t>
        </is>
      </c>
      <c r="M10" s="19" t="inlineStr">
        <is>
          <t>↓↓ 格下へ</t>
        </is>
      </c>
    </row>
    <row r="11">
      <c r="A11" s="16" t="inlineStr">
        <is>
          <t>愛知</t>
        </is>
      </c>
      <c r="B11" s="20" t="inlineStr">
        <is>
          <t>↑↑ 格上へ</t>
        </is>
      </c>
      <c r="C11" s="20" t="inlineStr">
        <is>
          <t>↑↑ 格上へ</t>
        </is>
      </c>
      <c r="D11" s="20" t="inlineStr">
        <is>
          <t>↑↑ 格上へ</t>
        </is>
      </c>
      <c r="E11" s="20" t="inlineStr">
        <is>
          <t>↑↑ 格上へ</t>
        </is>
      </c>
      <c r="F11" s="20" t="inlineStr">
        <is>
          <t>↑ 格上へ</t>
        </is>
      </c>
      <c r="G11" s="20" t="inlineStr">
        <is>
          <t>↑ 格上へ</t>
        </is>
      </c>
      <c r="H11" s="17" t="n"/>
      <c r="I11" s="18" t="inlineStr">
        <is>
          <t>＝ 同格</t>
        </is>
      </c>
      <c r="J11" s="18" t="inlineStr">
        <is>
          <t>＝ 同格</t>
        </is>
      </c>
      <c r="K11" s="19" t="inlineStr">
        <is>
          <t>↓ 格下へ</t>
        </is>
      </c>
      <c r="L11" s="19" t="inlineStr">
        <is>
          <t>↓ 格下へ</t>
        </is>
      </c>
      <c r="M11" s="19" t="inlineStr">
        <is>
          <t>↓ 格下へ</t>
        </is>
      </c>
    </row>
    <row r="12">
      <c r="A12" s="16" t="inlineStr">
        <is>
          <t>岩手</t>
        </is>
      </c>
      <c r="B12" s="20" t="inlineStr">
        <is>
          <t>↑↑ 格上へ</t>
        </is>
      </c>
      <c r="C12" s="20" t="inlineStr">
        <is>
          <t>↑↑ 格上へ</t>
        </is>
      </c>
      <c r="D12" s="20" t="inlineStr">
        <is>
          <t>↑↑ 格上へ</t>
        </is>
      </c>
      <c r="E12" s="20" t="inlineStr">
        <is>
          <t>↑↑ 格上へ</t>
        </is>
      </c>
      <c r="F12" s="20" t="inlineStr">
        <is>
          <t>↑ 格上へ</t>
        </is>
      </c>
      <c r="G12" s="20" t="inlineStr">
        <is>
          <t>↑ 格上へ</t>
        </is>
      </c>
      <c r="H12" s="18" t="inlineStr">
        <is>
          <t>＝ 同格</t>
        </is>
      </c>
      <c r="I12" s="17" t="n"/>
      <c r="J12" s="18" t="inlineStr">
        <is>
          <t>＝ 同格</t>
        </is>
      </c>
      <c r="K12" s="19" t="inlineStr">
        <is>
          <t>↓ 格下へ</t>
        </is>
      </c>
      <c r="L12" s="19" t="inlineStr">
        <is>
          <t>↓ 格下へ</t>
        </is>
      </c>
      <c r="M12" s="19" t="inlineStr">
        <is>
          <t>↓ 格下へ</t>
        </is>
      </c>
    </row>
    <row r="13">
      <c r="A13" s="16" t="inlineStr">
        <is>
          <t>北海道</t>
        </is>
      </c>
      <c r="B13" s="20" t="inlineStr">
        <is>
          <t>↑↑ 格上へ</t>
        </is>
      </c>
      <c r="C13" s="20" t="inlineStr">
        <is>
          <t>↑↑ 格上へ</t>
        </is>
      </c>
      <c r="D13" s="20" t="inlineStr">
        <is>
          <t>↑↑ 格上へ</t>
        </is>
      </c>
      <c r="E13" s="20" t="inlineStr">
        <is>
          <t>↑↑ 格上へ</t>
        </is>
      </c>
      <c r="F13" s="20" t="inlineStr">
        <is>
          <t>↑ 格上へ</t>
        </is>
      </c>
      <c r="G13" s="20" t="inlineStr">
        <is>
          <t>↑ 格上へ</t>
        </is>
      </c>
      <c r="H13" s="18" t="inlineStr">
        <is>
          <t>＝ 同格</t>
        </is>
      </c>
      <c r="I13" s="18" t="inlineStr">
        <is>
          <t>＝ 同格</t>
        </is>
      </c>
      <c r="J13" s="17" t="n"/>
      <c r="K13" s="19" t="inlineStr">
        <is>
          <t>↓ 格下へ</t>
        </is>
      </c>
      <c r="L13" s="19" t="inlineStr">
        <is>
          <t>↓ 格下へ</t>
        </is>
      </c>
      <c r="M13" s="19" t="inlineStr">
        <is>
          <t>↓ 格下へ</t>
        </is>
      </c>
    </row>
    <row r="14">
      <c r="A14" s="16" t="inlineStr">
        <is>
          <t>金沢</t>
        </is>
      </c>
      <c r="B14" s="20" t="inlineStr">
        <is>
          <t>↑↑ 格上へ</t>
        </is>
      </c>
      <c r="C14" s="20" t="inlineStr">
        <is>
          <t>↑↑ 格上へ</t>
        </is>
      </c>
      <c r="D14" s="20" t="inlineStr">
        <is>
          <t>↑↑ 格上へ</t>
        </is>
      </c>
      <c r="E14" s="20" t="inlineStr">
        <is>
          <t>↑↑ 格上へ</t>
        </is>
      </c>
      <c r="F14" s="20" t="inlineStr">
        <is>
          <t>↑↑ 格上へ</t>
        </is>
      </c>
      <c r="G14" s="20" t="inlineStr">
        <is>
          <t>↑↑ 格上へ</t>
        </is>
      </c>
      <c r="H14" s="20" t="inlineStr">
        <is>
          <t>↑ 格上へ</t>
        </is>
      </c>
      <c r="I14" s="20" t="inlineStr">
        <is>
          <t>↑ 格上へ</t>
        </is>
      </c>
      <c r="J14" s="20" t="inlineStr">
        <is>
          <t>↑ 格上へ</t>
        </is>
      </c>
      <c r="K14" s="17" t="n"/>
      <c r="L14" s="18" t="inlineStr">
        <is>
          <t>＝ 同格</t>
        </is>
      </c>
      <c r="M14" s="18" t="inlineStr">
        <is>
          <t>＝ 同格</t>
        </is>
      </c>
    </row>
    <row r="15">
      <c r="A15" s="16" t="inlineStr">
        <is>
          <t>佐賀</t>
        </is>
      </c>
      <c r="B15" s="20" t="inlineStr">
        <is>
          <t>↑↑ 格上へ</t>
        </is>
      </c>
      <c r="C15" s="20" t="inlineStr">
        <is>
          <t>↑↑ 格上へ</t>
        </is>
      </c>
      <c r="D15" s="20" t="inlineStr">
        <is>
          <t>↑↑ 格上へ</t>
        </is>
      </c>
      <c r="E15" s="20" t="inlineStr">
        <is>
          <t>↑↑ 格上へ</t>
        </is>
      </c>
      <c r="F15" s="20" t="inlineStr">
        <is>
          <t>↑↑ 格上へ</t>
        </is>
      </c>
      <c r="G15" s="20" t="inlineStr">
        <is>
          <t>↑↑ 格上へ</t>
        </is>
      </c>
      <c r="H15" s="20" t="inlineStr">
        <is>
          <t>↑ 格上へ</t>
        </is>
      </c>
      <c r="I15" s="20" t="inlineStr">
        <is>
          <t>↑ 格上へ</t>
        </is>
      </c>
      <c r="J15" s="20" t="inlineStr">
        <is>
          <t>↑ 格上へ</t>
        </is>
      </c>
      <c r="K15" s="18" t="inlineStr">
        <is>
          <t>＝ 同格</t>
        </is>
      </c>
      <c r="L15" s="17" t="n"/>
      <c r="M15" s="18" t="inlineStr">
        <is>
          <t>＝ 同格</t>
        </is>
      </c>
    </row>
    <row r="16">
      <c r="A16" s="16" t="inlineStr">
        <is>
          <t>笠松</t>
        </is>
      </c>
      <c r="B16" s="20" t="inlineStr">
        <is>
          <t>↑↑ 格上へ</t>
        </is>
      </c>
      <c r="C16" s="20" t="inlineStr">
        <is>
          <t>↑↑ 格上へ</t>
        </is>
      </c>
      <c r="D16" s="20" t="inlineStr">
        <is>
          <t>↑↑ 格上へ</t>
        </is>
      </c>
      <c r="E16" s="20" t="inlineStr">
        <is>
          <t>↑↑ 格上へ</t>
        </is>
      </c>
      <c r="F16" s="20" t="inlineStr">
        <is>
          <t>↑↑ 格上へ</t>
        </is>
      </c>
      <c r="G16" s="20" t="inlineStr">
        <is>
          <t>↑↑ 格上へ</t>
        </is>
      </c>
      <c r="H16" s="20" t="inlineStr">
        <is>
          <t>↑ 格上へ</t>
        </is>
      </c>
      <c r="I16" s="20" t="inlineStr">
        <is>
          <t>↑ 格上へ</t>
        </is>
      </c>
      <c r="J16" s="20" t="inlineStr">
        <is>
          <t>↑ 格上へ</t>
        </is>
      </c>
      <c r="K16" s="18" t="inlineStr">
        <is>
          <t>＝ 同格</t>
        </is>
      </c>
      <c r="L16" s="18" t="inlineStr">
        <is>
          <t>＝ 同格</t>
        </is>
      </c>
      <c r="M16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移籍後1〜3戦の人気比(複勝率)</t>
        </is>
      </c>
    </row>
    <row r="2">
      <c r="A2" s="4" t="inlineStr">
        <is>
          <t>1.00=人気どおり。空欄は80走未満</t>
        </is>
      </c>
    </row>
    <row r="4">
      <c r="A4" s="5" t="inlineStr">
        <is>
          <t>移籍元 ＼ 移籍先</t>
        </is>
      </c>
      <c r="B4" s="5" t="inlineStr">
        <is>
          <t>大井</t>
        </is>
      </c>
      <c r="C4" s="5" t="inlineStr">
        <is>
          <t>船橋</t>
        </is>
      </c>
      <c r="D4" s="5" t="inlineStr">
        <is>
          <t>浦和</t>
        </is>
      </c>
      <c r="E4" s="5" t="inlineStr">
        <is>
          <t>川崎</t>
        </is>
      </c>
      <c r="F4" s="5" t="inlineStr">
        <is>
          <t>兵庫</t>
        </is>
      </c>
      <c r="G4" s="5" t="inlineStr">
        <is>
          <t>高知</t>
        </is>
      </c>
      <c r="H4" s="5" t="inlineStr">
        <is>
          <t>愛知</t>
        </is>
      </c>
      <c r="I4" s="5" t="inlineStr">
        <is>
          <t>岩手</t>
        </is>
      </c>
      <c r="J4" s="5" t="inlineStr">
        <is>
          <t>北海道</t>
        </is>
      </c>
      <c r="K4" s="5" t="inlineStr">
        <is>
          <t>金沢</t>
        </is>
      </c>
      <c r="L4" s="5" t="inlineStr">
        <is>
          <t>佐賀</t>
        </is>
      </c>
      <c r="M4" s="5" t="inlineStr">
        <is>
          <t>笠松</t>
        </is>
      </c>
    </row>
    <row r="5">
      <c r="A5" s="16" t="inlineStr">
        <is>
          <t>大井</t>
        </is>
      </c>
      <c r="B5" s="21" t="n"/>
      <c r="C5" s="22" t="n">
        <v>1.06</v>
      </c>
      <c r="D5" s="22" t="n">
        <v>1</v>
      </c>
      <c r="E5" s="22" t="n">
        <v>1.13</v>
      </c>
      <c r="F5" s="22" t="n">
        <v>0.86</v>
      </c>
      <c r="G5" s="22" t="n">
        <v>0.99</v>
      </c>
      <c r="H5" s="22" t="n">
        <v>0.9399999999999999</v>
      </c>
      <c r="I5" s="22" t="n">
        <v>1.02</v>
      </c>
      <c r="J5" s="22" t="n">
        <v>0.96</v>
      </c>
      <c r="K5" s="22" t="n">
        <v>1.07</v>
      </c>
      <c r="L5" s="22" t="n">
        <v>1.1</v>
      </c>
      <c r="M5" s="22" t="n">
        <v>1.01</v>
      </c>
    </row>
    <row r="6">
      <c r="A6" s="16" t="inlineStr">
        <is>
          <t>船橋</t>
        </is>
      </c>
      <c r="B6" s="22" t="n">
        <v>0.71</v>
      </c>
      <c r="C6" s="21" t="n"/>
      <c r="D6" s="22" t="n">
        <v>0.95</v>
      </c>
      <c r="E6" s="22" t="n">
        <v>0.9</v>
      </c>
      <c r="F6" s="22" t="n">
        <v>0.61</v>
      </c>
      <c r="G6" s="22" t="n">
        <v>0.98</v>
      </c>
      <c r="H6" s="22" t="n">
        <v>0.83</v>
      </c>
      <c r="I6" s="22" t="n">
        <v>0.93</v>
      </c>
      <c r="J6" s="22" t="n">
        <v>0.93</v>
      </c>
      <c r="K6" s="22" t="n">
        <v>0.97</v>
      </c>
      <c r="L6" s="22" t="n">
        <v>0.85</v>
      </c>
      <c r="M6" s="22" t="n">
        <v>0.9399999999999999</v>
      </c>
    </row>
    <row r="7">
      <c r="A7" s="16" t="inlineStr">
        <is>
          <t>浦和</t>
        </is>
      </c>
      <c r="B7" s="22" t="n">
        <v>0.53</v>
      </c>
      <c r="C7" s="22" t="n">
        <v>0.9</v>
      </c>
      <c r="D7" s="21" t="n"/>
      <c r="E7" s="22" t="n">
        <v>0.71</v>
      </c>
      <c r="F7" s="22" t="n">
        <v>0.39</v>
      </c>
      <c r="G7" s="22" t="n">
        <v>0.86</v>
      </c>
      <c r="H7" s="22" t="n">
        <v>0.74</v>
      </c>
      <c r="I7" s="22" t="n">
        <v>0.97</v>
      </c>
      <c r="J7" s="22" t="n">
        <v>0.91</v>
      </c>
      <c r="K7" s="22" t="n">
        <v>1</v>
      </c>
      <c r="L7" s="22" t="n">
        <v>0.93</v>
      </c>
      <c r="M7" s="22" t="n">
        <v>0.86</v>
      </c>
    </row>
    <row r="8">
      <c r="A8" s="16" t="inlineStr">
        <is>
          <t>川崎</t>
        </is>
      </c>
      <c r="B8" s="22" t="n">
        <v>0.66</v>
      </c>
      <c r="C8" s="22" t="n">
        <v>0.91</v>
      </c>
      <c r="D8" s="22" t="n">
        <v>0.91</v>
      </c>
      <c r="E8" s="21" t="n"/>
      <c r="F8" s="22" t="n">
        <v>0.73</v>
      </c>
      <c r="G8" s="22" t="n">
        <v>0.97</v>
      </c>
      <c r="H8" s="22" t="n">
        <v>0.9399999999999999</v>
      </c>
      <c r="I8" s="22" t="n">
        <v>1.01</v>
      </c>
      <c r="J8" s="22" t="n">
        <v>1.04</v>
      </c>
      <c r="K8" s="22" t="n">
        <v>1.02</v>
      </c>
      <c r="L8" s="22" t="n">
        <v>0.88</v>
      </c>
      <c r="M8" s="22" t="n">
        <v>1.03</v>
      </c>
    </row>
    <row r="9">
      <c r="A9" s="16" t="inlineStr">
        <is>
          <t>兵庫</t>
        </is>
      </c>
      <c r="B9" s="22" t="n">
        <v>0.68</v>
      </c>
      <c r="C9" s="22" t="n"/>
      <c r="D9" s="22" t="n">
        <v>0.83</v>
      </c>
      <c r="E9" s="22" t="n">
        <v>0.96</v>
      </c>
      <c r="F9" s="21" t="n"/>
      <c r="G9" s="22" t="n">
        <v>0.9399999999999999</v>
      </c>
      <c r="H9" s="22" t="n">
        <v>0.97</v>
      </c>
      <c r="I9" s="22" t="n">
        <v>0.93</v>
      </c>
      <c r="J9" s="22" t="n">
        <v>1.06</v>
      </c>
      <c r="K9" s="22" t="n">
        <v>1.15</v>
      </c>
      <c r="L9" s="22" t="n">
        <v>1.06</v>
      </c>
      <c r="M9" s="22" t="n">
        <v>0.99</v>
      </c>
    </row>
    <row r="10">
      <c r="A10" s="16" t="inlineStr">
        <is>
          <t>高知</t>
        </is>
      </c>
      <c r="B10" s="22" t="n">
        <v>0.93</v>
      </c>
      <c r="C10" s="22" t="n"/>
      <c r="D10" s="22" t="n">
        <v>1.11</v>
      </c>
      <c r="E10" s="22" t="n"/>
      <c r="F10" s="22" t="n">
        <v>0.79</v>
      </c>
      <c r="G10" s="21" t="n"/>
      <c r="H10" s="22" t="n">
        <v>0.8</v>
      </c>
      <c r="I10" s="22" t="n">
        <v>1.16</v>
      </c>
      <c r="J10" s="22" t="n">
        <v>0.98</v>
      </c>
      <c r="K10" s="22" t="n">
        <v>1.06</v>
      </c>
      <c r="L10" s="22" t="n">
        <v>1.05</v>
      </c>
      <c r="M10" s="22" t="n">
        <v>0.92</v>
      </c>
    </row>
    <row r="11">
      <c r="A11" s="16" t="inlineStr">
        <is>
          <t>愛知</t>
        </is>
      </c>
      <c r="B11" s="22" t="n">
        <v>0.98</v>
      </c>
      <c r="C11" s="22" t="n">
        <v>1.11</v>
      </c>
      <c r="D11" s="22" t="n">
        <v>0.96</v>
      </c>
      <c r="E11" s="22" t="n">
        <v>1.07</v>
      </c>
      <c r="F11" s="22" t="n">
        <v>0.92</v>
      </c>
      <c r="G11" s="22" t="n">
        <v>0.97</v>
      </c>
      <c r="H11" s="21" t="n"/>
      <c r="I11" s="22" t="n">
        <v>0.95</v>
      </c>
      <c r="J11" s="22" t="n">
        <v>1</v>
      </c>
      <c r="K11" s="22" t="n">
        <v>0.95</v>
      </c>
      <c r="L11" s="22" t="n">
        <v>1.04</v>
      </c>
      <c r="M11" s="22" t="n">
        <v>1.01</v>
      </c>
    </row>
    <row r="12">
      <c r="A12" s="16" t="inlineStr">
        <is>
          <t>岩手</t>
        </is>
      </c>
      <c r="B12" s="22" t="n">
        <v>0.84</v>
      </c>
      <c r="C12" s="22" t="n">
        <v>1.01</v>
      </c>
      <c r="D12" s="22" t="n">
        <v>1.04</v>
      </c>
      <c r="E12" s="22" t="n">
        <v>0.99</v>
      </c>
      <c r="F12" s="22" t="n">
        <v>0.51</v>
      </c>
      <c r="G12" s="22" t="n">
        <v>0.68</v>
      </c>
      <c r="H12" s="22" t="n">
        <v>1.01</v>
      </c>
      <c r="I12" s="21" t="n"/>
      <c r="J12" s="22" t="n">
        <v>0.78</v>
      </c>
      <c r="K12" s="22" t="n">
        <v>1.05</v>
      </c>
      <c r="L12" s="22" t="n">
        <v>0.88</v>
      </c>
      <c r="M12" s="22" t="n">
        <v>1.13</v>
      </c>
    </row>
    <row r="13">
      <c r="A13" s="16" t="inlineStr">
        <is>
          <t>北海道</t>
        </is>
      </c>
      <c r="B13" s="22" t="n">
        <v>1.06</v>
      </c>
      <c r="C13" s="22" t="n">
        <v>1.04</v>
      </c>
      <c r="D13" s="22" t="n">
        <v>0.95</v>
      </c>
      <c r="E13" s="22" t="n">
        <v>1.11</v>
      </c>
      <c r="F13" s="22" t="n">
        <v>0.89</v>
      </c>
      <c r="G13" s="22" t="n">
        <v>0.98</v>
      </c>
      <c r="H13" s="22" t="n">
        <v>0.99</v>
      </c>
      <c r="I13" s="22" t="n">
        <v>1.04</v>
      </c>
      <c r="J13" s="21" t="n"/>
      <c r="K13" s="22" t="n">
        <v>1.06</v>
      </c>
      <c r="L13" s="22" t="n">
        <v>1.1</v>
      </c>
      <c r="M13" s="22" t="n">
        <v>1.05</v>
      </c>
    </row>
    <row r="14">
      <c r="A14" s="16" t="inlineStr">
        <is>
          <t>金沢</t>
        </is>
      </c>
      <c r="B14" s="22" t="n">
        <v>0.97</v>
      </c>
      <c r="C14" s="22" t="n">
        <v>0.6899999999999999</v>
      </c>
      <c r="D14" s="22" t="n">
        <v>0.85</v>
      </c>
      <c r="E14" s="22" t="n">
        <v>0.96</v>
      </c>
      <c r="F14" s="22" t="n">
        <v>0.42</v>
      </c>
      <c r="G14" s="22" t="n">
        <v>0.67</v>
      </c>
      <c r="H14" s="22" t="n">
        <v>0.72</v>
      </c>
      <c r="I14" s="22" t="n">
        <v>0.91</v>
      </c>
      <c r="J14" s="22" t="n"/>
      <c r="K14" s="21" t="n"/>
      <c r="L14" s="22" t="n">
        <v>0.88</v>
      </c>
      <c r="M14" s="22" t="n">
        <v>1.05</v>
      </c>
    </row>
    <row r="15">
      <c r="A15" s="16" t="inlineStr">
        <is>
          <t>佐賀</t>
        </is>
      </c>
      <c r="B15" s="22" t="n">
        <v>0.77</v>
      </c>
      <c r="C15" s="22" t="n"/>
      <c r="D15" s="22" t="n"/>
      <c r="E15" s="22" t="n"/>
      <c r="F15" s="22" t="n">
        <v>0.58</v>
      </c>
      <c r="G15" s="22" t="n"/>
      <c r="H15" s="22" t="n">
        <v>0.8100000000000001</v>
      </c>
      <c r="I15" s="22" t="n">
        <v>1.01</v>
      </c>
      <c r="J15" s="22" t="n">
        <v>0.87</v>
      </c>
      <c r="K15" s="22" t="n">
        <v>0.96</v>
      </c>
      <c r="L15" s="21" t="n"/>
      <c r="M15" s="22" t="n">
        <v>1.01</v>
      </c>
    </row>
    <row r="16">
      <c r="A16" s="16" t="inlineStr">
        <is>
          <t>笠松</t>
        </is>
      </c>
      <c r="B16" s="22" t="n">
        <v>1.12</v>
      </c>
      <c r="C16" s="22" t="n"/>
      <c r="D16" s="22" t="n">
        <v>0.96</v>
      </c>
      <c r="E16" s="22" t="n">
        <v>1.1</v>
      </c>
      <c r="F16" s="22" t="n">
        <v>0.5</v>
      </c>
      <c r="G16" s="22" t="n"/>
      <c r="H16" s="22" t="n">
        <v>0.8</v>
      </c>
      <c r="I16" s="22" t="n">
        <v>0.99</v>
      </c>
      <c r="J16" s="22" t="n">
        <v>0.9</v>
      </c>
      <c r="K16" s="22" t="n">
        <v>0.96</v>
      </c>
      <c r="L16" s="22" t="n">
        <v>0.9399999999999999</v>
      </c>
      <c r="M16" s="21" t="n"/>
    </row>
  </sheetData>
  <conditionalFormatting sqref="B5:M16">
    <cfRule type="colorScale" priority="1">
      <colorScale>
        <cfvo type="min"/>
        <cfvo type="num" val="1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移籍後1〜3戦の単勝回収率(%)</t>
        </is>
      </c>
    </row>
    <row r="2">
      <c r="A2" s="4" t="inlineStr">
        <is>
          <t>空欄は80走未満。1頭の高配当で大きく振れる点に注意</t>
        </is>
      </c>
    </row>
    <row r="4">
      <c r="A4" s="5" t="inlineStr">
        <is>
          <t>移籍元 ＼ 移籍先</t>
        </is>
      </c>
      <c r="B4" s="5" t="inlineStr">
        <is>
          <t>大井</t>
        </is>
      </c>
      <c r="C4" s="5" t="inlineStr">
        <is>
          <t>船橋</t>
        </is>
      </c>
      <c r="D4" s="5" t="inlineStr">
        <is>
          <t>浦和</t>
        </is>
      </c>
      <c r="E4" s="5" t="inlineStr">
        <is>
          <t>川崎</t>
        </is>
      </c>
      <c r="F4" s="5" t="inlineStr">
        <is>
          <t>兵庫</t>
        </is>
      </c>
      <c r="G4" s="5" t="inlineStr">
        <is>
          <t>高知</t>
        </is>
      </c>
      <c r="H4" s="5" t="inlineStr">
        <is>
          <t>愛知</t>
        </is>
      </c>
      <c r="I4" s="5" t="inlineStr">
        <is>
          <t>岩手</t>
        </is>
      </c>
      <c r="J4" s="5" t="inlineStr">
        <is>
          <t>北海道</t>
        </is>
      </c>
      <c r="K4" s="5" t="inlineStr">
        <is>
          <t>金沢</t>
        </is>
      </c>
      <c r="L4" s="5" t="inlineStr">
        <is>
          <t>佐賀</t>
        </is>
      </c>
      <c r="M4" s="5" t="inlineStr">
        <is>
          <t>笠松</t>
        </is>
      </c>
    </row>
    <row r="5">
      <c r="A5" s="16" t="inlineStr">
        <is>
          <t>大井</t>
        </is>
      </c>
      <c r="B5" s="23" t="n"/>
      <c r="C5" s="24" t="n">
        <v>71</v>
      </c>
      <c r="D5" s="24" t="n">
        <v>93</v>
      </c>
      <c r="E5" s="24" t="n">
        <v>53</v>
      </c>
      <c r="F5" s="24" t="n">
        <v>40</v>
      </c>
      <c r="G5" s="24" t="n">
        <v>55</v>
      </c>
      <c r="H5" s="24" t="n">
        <v>82</v>
      </c>
      <c r="I5" s="24" t="n">
        <v>59</v>
      </c>
      <c r="J5" s="24" t="n">
        <v>42</v>
      </c>
      <c r="K5" s="24" t="n">
        <v>104</v>
      </c>
      <c r="L5" s="24" t="n">
        <v>82</v>
      </c>
      <c r="M5" s="24" t="n">
        <v>55</v>
      </c>
    </row>
    <row r="6">
      <c r="A6" s="16" t="inlineStr">
        <is>
          <t>船橋</t>
        </is>
      </c>
      <c r="B6" s="24" t="n">
        <v>35</v>
      </c>
      <c r="C6" s="23" t="n"/>
      <c r="D6" s="24" t="n">
        <v>44</v>
      </c>
      <c r="E6" s="24" t="n">
        <v>30</v>
      </c>
      <c r="F6" s="24" t="n">
        <v>132</v>
      </c>
      <c r="G6" s="24" t="n">
        <v>48</v>
      </c>
      <c r="H6" s="24" t="n">
        <v>106</v>
      </c>
      <c r="I6" s="24" t="n">
        <v>102</v>
      </c>
      <c r="J6" s="24" t="n">
        <v>50</v>
      </c>
      <c r="K6" s="24" t="n">
        <v>65</v>
      </c>
      <c r="L6" s="24" t="n">
        <v>66</v>
      </c>
      <c r="M6" s="24" t="n">
        <v>89</v>
      </c>
    </row>
    <row r="7">
      <c r="A7" s="16" t="inlineStr">
        <is>
          <t>浦和</t>
        </is>
      </c>
      <c r="B7" s="24" t="n">
        <v>3</v>
      </c>
      <c r="C7" s="24" t="n">
        <v>68</v>
      </c>
      <c r="D7" s="23" t="n"/>
      <c r="E7" s="24" t="n">
        <v>52</v>
      </c>
      <c r="F7" s="24" t="n">
        <v>21</v>
      </c>
      <c r="G7" s="24" t="n">
        <v>42</v>
      </c>
      <c r="H7" s="24" t="n">
        <v>23</v>
      </c>
      <c r="I7" s="24" t="n">
        <v>116</v>
      </c>
      <c r="J7" s="24" t="n">
        <v>99</v>
      </c>
      <c r="K7" s="24" t="n">
        <v>37</v>
      </c>
      <c r="L7" s="24" t="n">
        <v>39</v>
      </c>
      <c r="M7" s="24" t="n">
        <v>96</v>
      </c>
    </row>
    <row r="8">
      <c r="A8" s="16" t="inlineStr">
        <is>
          <t>川崎</t>
        </is>
      </c>
      <c r="B8" s="24" t="n">
        <v>125</v>
      </c>
      <c r="C8" s="24" t="n">
        <v>130</v>
      </c>
      <c r="D8" s="24" t="n">
        <v>111</v>
      </c>
      <c r="E8" s="23" t="n"/>
      <c r="F8" s="24" t="n">
        <v>37</v>
      </c>
      <c r="G8" s="24" t="n">
        <v>45</v>
      </c>
      <c r="H8" s="24" t="n">
        <v>125</v>
      </c>
      <c r="I8" s="24" t="n">
        <v>105</v>
      </c>
      <c r="J8" s="24" t="n">
        <v>30</v>
      </c>
      <c r="K8" s="24" t="n">
        <v>79</v>
      </c>
      <c r="L8" s="24" t="n">
        <v>54</v>
      </c>
      <c r="M8" s="24" t="n">
        <v>167</v>
      </c>
    </row>
    <row r="9">
      <c r="A9" s="16" t="inlineStr">
        <is>
          <t>兵庫</t>
        </is>
      </c>
      <c r="B9" s="24" t="n">
        <v>38</v>
      </c>
      <c r="C9" s="24" t="n"/>
      <c r="D9" s="24" t="n">
        <v>34</v>
      </c>
      <c r="E9" s="24" t="n">
        <v>100</v>
      </c>
      <c r="F9" s="23" t="n"/>
      <c r="G9" s="24" t="n">
        <v>76</v>
      </c>
      <c r="H9" s="24" t="n">
        <v>83</v>
      </c>
      <c r="I9" s="24" t="n">
        <v>64</v>
      </c>
      <c r="J9" s="24" t="n">
        <v>42</v>
      </c>
      <c r="K9" s="24" t="n">
        <v>111</v>
      </c>
      <c r="L9" s="24" t="n">
        <v>77</v>
      </c>
      <c r="M9" s="24" t="n">
        <v>60</v>
      </c>
    </row>
    <row r="10">
      <c r="A10" s="16" t="inlineStr">
        <is>
          <t>高知</t>
        </is>
      </c>
      <c r="B10" s="24" t="n">
        <v>26</v>
      </c>
      <c r="C10" s="24" t="n"/>
      <c r="D10" s="24" t="n">
        <v>81</v>
      </c>
      <c r="E10" s="24" t="n"/>
      <c r="F10" s="24" t="n">
        <v>58</v>
      </c>
      <c r="G10" s="23" t="n"/>
      <c r="H10" s="24" t="n">
        <v>62</v>
      </c>
      <c r="I10" s="24" t="n">
        <v>84</v>
      </c>
      <c r="J10" s="24" t="n">
        <v>154</v>
      </c>
      <c r="K10" s="24" t="n">
        <v>113</v>
      </c>
      <c r="L10" s="24" t="n">
        <v>71</v>
      </c>
      <c r="M10" s="24" t="n">
        <v>59</v>
      </c>
    </row>
    <row r="11">
      <c r="A11" s="16" t="inlineStr">
        <is>
          <t>愛知</t>
        </is>
      </c>
      <c r="B11" s="24" t="n">
        <v>98</v>
      </c>
      <c r="C11" s="24" t="n">
        <v>56</v>
      </c>
      <c r="D11" s="24" t="n">
        <v>162</v>
      </c>
      <c r="E11" s="24" t="n">
        <v>84</v>
      </c>
      <c r="F11" s="24" t="n">
        <v>85</v>
      </c>
      <c r="G11" s="24" t="n">
        <v>82</v>
      </c>
      <c r="H11" s="23" t="n"/>
      <c r="I11" s="24" t="n">
        <v>47</v>
      </c>
      <c r="J11" s="24" t="n">
        <v>70</v>
      </c>
      <c r="K11" s="24" t="n">
        <v>58</v>
      </c>
      <c r="L11" s="24" t="n">
        <v>112</v>
      </c>
      <c r="M11" s="24" t="n">
        <v>69</v>
      </c>
    </row>
    <row r="12">
      <c r="A12" s="16" t="inlineStr">
        <is>
          <t>岩手</t>
        </is>
      </c>
      <c r="B12" s="24" t="n">
        <v>18</v>
      </c>
      <c r="C12" s="24" t="n">
        <v>95</v>
      </c>
      <c r="D12" s="24" t="n">
        <v>53</v>
      </c>
      <c r="E12" s="24" t="n">
        <v>30</v>
      </c>
      <c r="F12" s="24" t="n">
        <v>52</v>
      </c>
      <c r="G12" s="24" t="n">
        <v>20</v>
      </c>
      <c r="H12" s="24" t="n">
        <v>46</v>
      </c>
      <c r="I12" s="23" t="n"/>
      <c r="J12" s="24" t="n">
        <v>76</v>
      </c>
      <c r="K12" s="24" t="n">
        <v>129</v>
      </c>
      <c r="L12" s="24" t="n">
        <v>64</v>
      </c>
      <c r="M12" s="24" t="n">
        <v>106</v>
      </c>
    </row>
    <row r="13">
      <c r="A13" s="16" t="inlineStr">
        <is>
          <t>北海道</t>
        </is>
      </c>
      <c r="B13" s="24" t="n">
        <v>102</v>
      </c>
      <c r="C13" s="24" t="n">
        <v>82</v>
      </c>
      <c r="D13" s="24" t="n">
        <v>67</v>
      </c>
      <c r="E13" s="24" t="n">
        <v>91</v>
      </c>
      <c r="F13" s="24" t="n">
        <v>56</v>
      </c>
      <c r="G13" s="24" t="n">
        <v>59</v>
      </c>
      <c r="H13" s="24" t="n">
        <v>71</v>
      </c>
      <c r="I13" s="24" t="n">
        <v>53</v>
      </c>
      <c r="J13" s="23" t="n"/>
      <c r="K13" s="24" t="n">
        <v>69</v>
      </c>
      <c r="L13" s="24" t="n">
        <v>79</v>
      </c>
      <c r="M13" s="24" t="n">
        <v>65</v>
      </c>
    </row>
    <row r="14">
      <c r="A14" s="16" t="inlineStr">
        <is>
          <t>金沢</t>
        </is>
      </c>
      <c r="B14" s="24" t="n">
        <v>60</v>
      </c>
      <c r="C14" s="24" t="n">
        <v>26</v>
      </c>
      <c r="D14" s="24" t="n">
        <v>39</v>
      </c>
      <c r="E14" s="24" t="n">
        <v>125</v>
      </c>
      <c r="F14" s="24" t="n">
        <v>5</v>
      </c>
      <c r="G14" s="24" t="n">
        <v>99</v>
      </c>
      <c r="H14" s="24" t="n">
        <v>29</v>
      </c>
      <c r="I14" s="24" t="n">
        <v>31</v>
      </c>
      <c r="J14" s="24" t="n"/>
      <c r="K14" s="23" t="n"/>
      <c r="L14" s="24" t="n">
        <v>42</v>
      </c>
      <c r="M14" s="24" t="n">
        <v>76</v>
      </c>
    </row>
    <row r="15">
      <c r="A15" s="16" t="inlineStr">
        <is>
          <t>佐賀</t>
        </is>
      </c>
      <c r="B15" s="24" t="n">
        <v>33</v>
      </c>
      <c r="C15" s="24" t="n"/>
      <c r="D15" s="24" t="n"/>
      <c r="E15" s="24" t="n"/>
      <c r="F15" s="24" t="n">
        <v>16</v>
      </c>
      <c r="G15" s="24" t="n"/>
      <c r="H15" s="24" t="n">
        <v>33</v>
      </c>
      <c r="I15" s="24" t="n">
        <v>75</v>
      </c>
      <c r="J15" s="24" t="n">
        <v>35</v>
      </c>
      <c r="K15" s="24" t="n">
        <v>138</v>
      </c>
      <c r="L15" s="23" t="n"/>
      <c r="M15" s="24" t="n">
        <v>38</v>
      </c>
    </row>
    <row r="16">
      <c r="A16" s="16" t="inlineStr">
        <is>
          <t>笠松</t>
        </is>
      </c>
      <c r="B16" s="24" t="n">
        <v>38</v>
      </c>
      <c r="C16" s="24" t="n"/>
      <c r="D16" s="24" t="n">
        <v>58</v>
      </c>
      <c r="E16" s="24" t="n">
        <v>77</v>
      </c>
      <c r="F16" s="24" t="n">
        <v>1</v>
      </c>
      <c r="G16" s="24" t="n"/>
      <c r="H16" s="24" t="n">
        <v>24</v>
      </c>
      <c r="I16" s="24" t="n">
        <v>40</v>
      </c>
      <c r="J16" s="24" t="n">
        <v>41</v>
      </c>
      <c r="K16" s="24" t="n">
        <v>38</v>
      </c>
      <c r="L16" s="24" t="n">
        <v>59</v>
      </c>
      <c r="M16" s="23" t="n"/>
    </row>
  </sheetData>
  <conditionalFormatting sqref="B5:M16">
    <cfRule type="colorScale" priority="1">
      <colorScale>
        <cfvo type="min"/>
        <cfvo type="num" val="7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単勝回収率の変化(移籍後 − 移籍前、ポイント)</t>
        </is>
      </c>
    </row>
    <row r="2">
      <c r="A2" s="4" t="inlineStr">
        <is>
          <t>全体平均は+25。それより大きければ移籍で好転</t>
        </is>
      </c>
    </row>
    <row r="4">
      <c r="A4" s="5" t="inlineStr">
        <is>
          <t>移籍元 ＼ 移籍先</t>
        </is>
      </c>
      <c r="B4" s="5" t="inlineStr">
        <is>
          <t>大井</t>
        </is>
      </c>
      <c r="C4" s="5" t="inlineStr">
        <is>
          <t>船橋</t>
        </is>
      </c>
      <c r="D4" s="5" t="inlineStr">
        <is>
          <t>浦和</t>
        </is>
      </c>
      <c r="E4" s="5" t="inlineStr">
        <is>
          <t>川崎</t>
        </is>
      </c>
      <c r="F4" s="5" t="inlineStr">
        <is>
          <t>兵庫</t>
        </is>
      </c>
      <c r="G4" s="5" t="inlineStr">
        <is>
          <t>高知</t>
        </is>
      </c>
      <c r="H4" s="5" t="inlineStr">
        <is>
          <t>愛知</t>
        </is>
      </c>
      <c r="I4" s="5" t="inlineStr">
        <is>
          <t>岩手</t>
        </is>
      </c>
      <c r="J4" s="5" t="inlineStr">
        <is>
          <t>北海道</t>
        </is>
      </c>
      <c r="K4" s="5" t="inlineStr">
        <is>
          <t>金沢</t>
        </is>
      </c>
      <c r="L4" s="5" t="inlineStr">
        <is>
          <t>佐賀</t>
        </is>
      </c>
      <c r="M4" s="5" t="inlineStr">
        <is>
          <t>笠松</t>
        </is>
      </c>
    </row>
    <row r="5">
      <c r="A5" s="16" t="inlineStr">
        <is>
          <t>大井</t>
        </is>
      </c>
      <c r="B5" s="25" t="n"/>
      <c r="C5" s="26" t="n">
        <v>37</v>
      </c>
      <c r="D5" s="26" t="n">
        <v>78</v>
      </c>
      <c r="E5" s="26" t="n">
        <v>37</v>
      </c>
      <c r="F5" s="26" t="n">
        <v>18</v>
      </c>
      <c r="G5" s="26" t="n">
        <v>47</v>
      </c>
      <c r="H5" s="26" t="n">
        <v>54</v>
      </c>
      <c r="I5" s="26" t="n">
        <v>52</v>
      </c>
      <c r="J5" s="26" t="n">
        <v>-10</v>
      </c>
      <c r="K5" s="26" t="n">
        <v>75</v>
      </c>
      <c r="L5" s="26" t="n">
        <v>75</v>
      </c>
      <c r="M5" s="26" t="n">
        <v>41</v>
      </c>
    </row>
    <row r="6">
      <c r="A6" s="16" t="inlineStr">
        <is>
          <t>船橋</t>
        </is>
      </c>
      <c r="B6" s="26" t="n">
        <v>8</v>
      </c>
      <c r="C6" s="25" t="n"/>
      <c r="D6" s="26" t="n">
        <v>6</v>
      </c>
      <c r="E6" s="26" t="n">
        <v>15</v>
      </c>
      <c r="F6" s="26" t="n">
        <v>106</v>
      </c>
      <c r="G6" s="26" t="n">
        <v>25</v>
      </c>
      <c r="H6" s="26" t="n">
        <v>95</v>
      </c>
      <c r="I6" s="26" t="n">
        <v>79</v>
      </c>
      <c r="J6" s="26" t="n">
        <v>12</v>
      </c>
      <c r="K6" s="26" t="n">
        <v>27</v>
      </c>
      <c r="L6" s="26" t="n">
        <v>55</v>
      </c>
      <c r="M6" s="26" t="n">
        <v>84</v>
      </c>
    </row>
    <row r="7">
      <c r="A7" s="16" t="inlineStr">
        <is>
          <t>浦和</t>
        </is>
      </c>
      <c r="B7" s="26" t="n">
        <v>-52</v>
      </c>
      <c r="C7" s="26" t="n">
        <v>54</v>
      </c>
      <c r="D7" s="25" t="n"/>
      <c r="E7" s="26" t="n">
        <v>-48</v>
      </c>
      <c r="F7" s="26" t="n">
        <v>-39</v>
      </c>
      <c r="G7" s="26" t="n">
        <v>32</v>
      </c>
      <c r="H7" s="26" t="n">
        <v>12</v>
      </c>
      <c r="I7" s="26" t="n">
        <v>99</v>
      </c>
      <c r="J7" s="26" t="n">
        <v>82</v>
      </c>
      <c r="K7" s="26" t="n">
        <v>12</v>
      </c>
      <c r="L7" s="26" t="n">
        <v>27</v>
      </c>
      <c r="M7" s="26" t="n">
        <v>91</v>
      </c>
    </row>
    <row r="8">
      <c r="A8" s="16" t="inlineStr">
        <is>
          <t>川崎</t>
        </is>
      </c>
      <c r="B8" s="26" t="n">
        <v>69</v>
      </c>
      <c r="C8" s="26" t="n">
        <v>120</v>
      </c>
      <c r="D8" s="26" t="n">
        <v>74</v>
      </c>
      <c r="E8" s="25" t="n"/>
      <c r="F8" s="26" t="n">
        <v>28</v>
      </c>
      <c r="G8" s="26" t="n">
        <v>21</v>
      </c>
      <c r="H8" s="26" t="n">
        <v>98</v>
      </c>
      <c r="I8" s="26" t="n">
        <v>95</v>
      </c>
      <c r="J8" s="26" t="n">
        <v>7</v>
      </c>
      <c r="K8" s="26" t="n">
        <v>31</v>
      </c>
      <c r="L8" s="26" t="n">
        <v>6</v>
      </c>
      <c r="M8" s="26" t="n">
        <v>147</v>
      </c>
    </row>
    <row r="9">
      <c r="A9" s="16" t="inlineStr">
        <is>
          <t>兵庫</t>
        </is>
      </c>
      <c r="B9" s="26" t="n">
        <v>-51</v>
      </c>
      <c r="C9" s="26" t="n"/>
      <c r="D9" s="26" t="n">
        <v>-75</v>
      </c>
      <c r="E9" s="26" t="n">
        <v>71</v>
      </c>
      <c r="F9" s="25" t="n"/>
      <c r="G9" s="26" t="n">
        <v>54</v>
      </c>
      <c r="H9" s="26" t="n">
        <v>29</v>
      </c>
      <c r="I9" s="26" t="n">
        <v>34</v>
      </c>
      <c r="J9" s="26" t="n">
        <v>4</v>
      </c>
      <c r="K9" s="26" t="n">
        <v>97</v>
      </c>
      <c r="L9" s="26" t="n">
        <v>47</v>
      </c>
      <c r="M9" s="26" t="n">
        <v>39</v>
      </c>
    </row>
    <row r="10">
      <c r="A10" s="16" t="inlineStr">
        <is>
          <t>高知</t>
        </is>
      </c>
      <c r="B10" s="26" t="n">
        <v>-187</v>
      </c>
      <c r="C10" s="26" t="n"/>
      <c r="D10" s="26" t="n">
        <v>-32</v>
      </c>
      <c r="E10" s="26" t="n"/>
      <c r="F10" s="26" t="n">
        <v>33</v>
      </c>
      <c r="G10" s="25" t="n"/>
      <c r="H10" s="26" t="n">
        <v>21</v>
      </c>
      <c r="I10" s="26" t="n">
        <v>71</v>
      </c>
      <c r="J10" s="26" t="n">
        <v>108</v>
      </c>
      <c r="K10" s="26" t="n">
        <v>87</v>
      </c>
      <c r="L10" s="26" t="n">
        <v>33</v>
      </c>
      <c r="M10" s="26" t="n">
        <v>46</v>
      </c>
    </row>
    <row r="11">
      <c r="A11" s="16" t="inlineStr">
        <is>
          <t>愛知</t>
        </is>
      </c>
      <c r="B11" s="26" t="n">
        <v>34</v>
      </c>
      <c r="C11" s="26" t="n">
        <v>-96</v>
      </c>
      <c r="D11" s="26" t="n">
        <v>57</v>
      </c>
      <c r="E11" s="26" t="n">
        <v>7</v>
      </c>
      <c r="F11" s="26" t="n">
        <v>68</v>
      </c>
      <c r="G11" s="26" t="n">
        <v>43</v>
      </c>
      <c r="H11" s="25" t="n"/>
      <c r="I11" s="26" t="n">
        <v>24</v>
      </c>
      <c r="J11" s="26" t="n">
        <v>34</v>
      </c>
      <c r="K11" s="26" t="n">
        <v>33</v>
      </c>
      <c r="L11" s="26" t="n">
        <v>43</v>
      </c>
      <c r="M11" s="26" t="n">
        <v>45</v>
      </c>
    </row>
    <row r="12">
      <c r="A12" s="16" t="inlineStr">
        <is>
          <t>岩手</t>
        </is>
      </c>
      <c r="B12" s="26" t="n">
        <v>-73</v>
      </c>
      <c r="C12" s="26" t="n">
        <v>5</v>
      </c>
      <c r="D12" s="26" t="n">
        <v>-112</v>
      </c>
      <c r="E12" s="26" t="n">
        <v>-83</v>
      </c>
      <c r="F12" s="26" t="n">
        <v>33</v>
      </c>
      <c r="G12" s="26" t="n">
        <v>-109</v>
      </c>
      <c r="H12" s="26" t="n">
        <v>-24</v>
      </c>
      <c r="I12" s="25" t="n"/>
      <c r="J12" s="26" t="n">
        <v>25</v>
      </c>
      <c r="K12" s="26" t="n">
        <v>122</v>
      </c>
      <c r="L12" s="26" t="n">
        <v>28</v>
      </c>
      <c r="M12" s="26" t="n">
        <v>52</v>
      </c>
    </row>
    <row r="13">
      <c r="A13" s="16" t="inlineStr">
        <is>
          <t>北海道</t>
        </is>
      </c>
      <c r="B13" s="26" t="n">
        <v>-14</v>
      </c>
      <c r="C13" s="26" t="n">
        <v>-8</v>
      </c>
      <c r="D13" s="26" t="n">
        <v>-37</v>
      </c>
      <c r="E13" s="26" t="n">
        <v>-50</v>
      </c>
      <c r="F13" s="26" t="n">
        <v>-10</v>
      </c>
      <c r="G13" s="26" t="n">
        <v>-9</v>
      </c>
      <c r="H13" s="26" t="n">
        <v>15</v>
      </c>
      <c r="I13" s="26" t="n">
        <v>19</v>
      </c>
      <c r="J13" s="25" t="n"/>
      <c r="K13" s="26" t="n">
        <v>41</v>
      </c>
      <c r="L13" s="26" t="n">
        <v>18</v>
      </c>
      <c r="M13" s="26" t="n">
        <v>12</v>
      </c>
    </row>
    <row r="14">
      <c r="A14" s="16" t="inlineStr">
        <is>
          <t>金沢</t>
        </is>
      </c>
      <c r="B14" s="26" t="n">
        <v>-83</v>
      </c>
      <c r="C14" s="26" t="n">
        <v>-56</v>
      </c>
      <c r="D14" s="26" t="n">
        <v>-27</v>
      </c>
      <c r="E14" s="26" t="n">
        <v>32</v>
      </c>
      <c r="F14" s="26" t="n">
        <v>-82</v>
      </c>
      <c r="G14" s="26" t="n">
        <v>32</v>
      </c>
      <c r="H14" s="26" t="n">
        <v>-10</v>
      </c>
      <c r="I14" s="26" t="n">
        <v>1</v>
      </c>
      <c r="J14" s="26" t="n"/>
      <c r="K14" s="25" t="n"/>
      <c r="L14" s="26" t="n">
        <v>11</v>
      </c>
      <c r="M14" s="26" t="n">
        <v>47</v>
      </c>
    </row>
    <row r="15">
      <c r="A15" s="16" t="inlineStr">
        <is>
          <t>佐賀</t>
        </is>
      </c>
      <c r="B15" s="26" t="n">
        <v>-33</v>
      </c>
      <c r="C15" s="26" t="n"/>
      <c r="D15" s="26" t="n"/>
      <c r="E15" s="26" t="n"/>
      <c r="F15" s="26" t="n">
        <v>13</v>
      </c>
      <c r="G15" s="26" t="n"/>
      <c r="H15" s="26" t="n">
        <v>24</v>
      </c>
      <c r="I15" s="26" t="n">
        <v>32</v>
      </c>
      <c r="J15" s="26" t="n">
        <v>-17</v>
      </c>
      <c r="K15" s="26" t="n">
        <v>109</v>
      </c>
      <c r="L15" s="25" t="n"/>
      <c r="M15" s="26" t="n">
        <v>7</v>
      </c>
    </row>
    <row r="16">
      <c r="A16" s="16" t="inlineStr">
        <is>
          <t>笠松</t>
        </is>
      </c>
      <c r="B16" s="26" t="n">
        <v>-92</v>
      </c>
      <c r="C16" s="26" t="n"/>
      <c r="D16" s="26" t="n">
        <v>5</v>
      </c>
      <c r="E16" s="26" t="n">
        <v>12</v>
      </c>
      <c r="F16" s="26" t="n">
        <v>-50</v>
      </c>
      <c r="G16" s="26" t="n"/>
      <c r="H16" s="26" t="n">
        <v>-18</v>
      </c>
      <c r="I16" s="26" t="n">
        <v>10</v>
      </c>
      <c r="J16" s="26" t="n">
        <v>-19</v>
      </c>
      <c r="K16" s="26" t="n">
        <v>-5</v>
      </c>
      <c r="L16" s="26" t="n">
        <v>20</v>
      </c>
      <c r="M16" s="25" t="n"/>
    </row>
  </sheetData>
  <conditionalFormatting sqref="B5:M16">
    <cfRule type="colorScale" priority="1">
      <colorScale>
        <cfvo type="min"/>
        <cfvo type="num" val="25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移籍後1〜3戦の複勝回収率(%)</t>
        </is>
      </c>
    </row>
    <row r="2">
      <c r="A2" s="4" t="inlineStr">
        <is>
          <t>空欄は80走未満。90%以上が狙い目の目安</t>
        </is>
      </c>
    </row>
    <row r="4">
      <c r="A4" s="5" t="inlineStr">
        <is>
          <t>移籍元 ＼ 移籍先</t>
        </is>
      </c>
      <c r="B4" s="5" t="inlineStr">
        <is>
          <t>大井</t>
        </is>
      </c>
      <c r="C4" s="5" t="inlineStr">
        <is>
          <t>船橋</t>
        </is>
      </c>
      <c r="D4" s="5" t="inlineStr">
        <is>
          <t>浦和</t>
        </is>
      </c>
      <c r="E4" s="5" t="inlineStr">
        <is>
          <t>川崎</t>
        </is>
      </c>
      <c r="F4" s="5" t="inlineStr">
        <is>
          <t>兵庫</t>
        </is>
      </c>
      <c r="G4" s="5" t="inlineStr">
        <is>
          <t>高知</t>
        </is>
      </c>
      <c r="H4" s="5" t="inlineStr">
        <is>
          <t>愛知</t>
        </is>
      </c>
      <c r="I4" s="5" t="inlineStr">
        <is>
          <t>岩手</t>
        </is>
      </c>
      <c r="J4" s="5" t="inlineStr">
        <is>
          <t>北海道</t>
        </is>
      </c>
      <c r="K4" s="5" t="inlineStr">
        <is>
          <t>金沢</t>
        </is>
      </c>
      <c r="L4" s="5" t="inlineStr">
        <is>
          <t>佐賀</t>
        </is>
      </c>
      <c r="M4" s="5" t="inlineStr">
        <is>
          <t>笠松</t>
        </is>
      </c>
    </row>
    <row r="5">
      <c r="A5" s="16" t="inlineStr">
        <is>
          <t>大井</t>
        </is>
      </c>
      <c r="B5" s="23" t="n"/>
      <c r="C5" s="24" t="n">
        <v>85</v>
      </c>
      <c r="D5" s="24" t="n">
        <v>66</v>
      </c>
      <c r="E5" s="24" t="n">
        <v>89</v>
      </c>
      <c r="F5" s="24" t="n">
        <v>49</v>
      </c>
      <c r="G5" s="24" t="n">
        <v>75</v>
      </c>
      <c r="H5" s="24" t="n">
        <v>71</v>
      </c>
      <c r="I5" s="24" t="n">
        <v>79</v>
      </c>
      <c r="J5" s="24" t="n">
        <v>70</v>
      </c>
      <c r="K5" s="24" t="n">
        <v>86</v>
      </c>
      <c r="L5" s="24" t="n">
        <v>98</v>
      </c>
      <c r="M5" s="24" t="n">
        <v>73</v>
      </c>
    </row>
    <row r="6">
      <c r="A6" s="16" t="inlineStr">
        <is>
          <t>船橋</t>
        </is>
      </c>
      <c r="B6" s="24" t="n">
        <v>38</v>
      </c>
      <c r="C6" s="23" t="n"/>
      <c r="D6" s="24" t="n">
        <v>68</v>
      </c>
      <c r="E6" s="24" t="n">
        <v>61</v>
      </c>
      <c r="F6" s="24" t="n">
        <v>55</v>
      </c>
      <c r="G6" s="24" t="n">
        <v>71</v>
      </c>
      <c r="H6" s="24" t="n">
        <v>59</v>
      </c>
      <c r="I6" s="24" t="n">
        <v>73</v>
      </c>
      <c r="J6" s="24" t="n">
        <v>58</v>
      </c>
      <c r="K6" s="24" t="n">
        <v>68</v>
      </c>
      <c r="L6" s="24" t="n">
        <v>55</v>
      </c>
      <c r="M6" s="24" t="n">
        <v>69</v>
      </c>
    </row>
    <row r="7">
      <c r="A7" s="16" t="inlineStr">
        <is>
          <t>浦和</t>
        </is>
      </c>
      <c r="B7" s="24" t="n">
        <v>20</v>
      </c>
      <c r="C7" s="24" t="n">
        <v>50</v>
      </c>
      <c r="D7" s="23" t="n"/>
      <c r="E7" s="24" t="n">
        <v>49</v>
      </c>
      <c r="F7" s="24" t="n">
        <v>19</v>
      </c>
      <c r="G7" s="24" t="n">
        <v>67</v>
      </c>
      <c r="H7" s="24" t="n">
        <v>34</v>
      </c>
      <c r="I7" s="24" t="n">
        <v>93</v>
      </c>
      <c r="J7" s="24" t="n">
        <v>61</v>
      </c>
      <c r="K7" s="24" t="n">
        <v>71</v>
      </c>
      <c r="L7" s="24" t="n">
        <v>64</v>
      </c>
      <c r="M7" s="24" t="n">
        <v>68</v>
      </c>
    </row>
    <row r="8">
      <c r="A8" s="16" t="inlineStr">
        <is>
          <t>川崎</t>
        </is>
      </c>
      <c r="B8" s="24" t="n">
        <v>64</v>
      </c>
      <c r="C8" s="24" t="n">
        <v>78</v>
      </c>
      <c r="D8" s="24" t="n">
        <v>62</v>
      </c>
      <c r="E8" s="23" t="n"/>
      <c r="F8" s="24" t="n">
        <v>45</v>
      </c>
      <c r="G8" s="24" t="n">
        <v>69</v>
      </c>
      <c r="H8" s="24" t="n">
        <v>64</v>
      </c>
      <c r="I8" s="24" t="n">
        <v>81</v>
      </c>
      <c r="J8" s="24" t="n">
        <v>78</v>
      </c>
      <c r="K8" s="24" t="n">
        <v>76</v>
      </c>
      <c r="L8" s="24" t="n">
        <v>56</v>
      </c>
      <c r="M8" s="24" t="n">
        <v>80</v>
      </c>
    </row>
    <row r="9">
      <c r="A9" s="16" t="inlineStr">
        <is>
          <t>兵庫</t>
        </is>
      </c>
      <c r="B9" s="24" t="n">
        <v>50</v>
      </c>
      <c r="C9" s="24" t="n"/>
      <c r="D9" s="24" t="n">
        <v>60</v>
      </c>
      <c r="E9" s="24" t="n">
        <v>93</v>
      </c>
      <c r="F9" s="23" t="n"/>
      <c r="G9" s="24" t="n">
        <v>63</v>
      </c>
      <c r="H9" s="24" t="n">
        <v>77</v>
      </c>
      <c r="I9" s="24" t="n">
        <v>58</v>
      </c>
      <c r="J9" s="24" t="n">
        <v>80</v>
      </c>
      <c r="K9" s="24" t="n">
        <v>103</v>
      </c>
      <c r="L9" s="24" t="n">
        <v>80</v>
      </c>
      <c r="M9" s="24" t="n">
        <v>66</v>
      </c>
    </row>
    <row r="10">
      <c r="A10" s="16" t="inlineStr">
        <is>
          <t>高知</t>
        </is>
      </c>
      <c r="B10" s="24" t="n">
        <v>42</v>
      </c>
      <c r="C10" s="24" t="n"/>
      <c r="D10" s="24" t="n">
        <v>69</v>
      </c>
      <c r="E10" s="24" t="n"/>
      <c r="F10" s="24" t="n">
        <v>49</v>
      </c>
      <c r="G10" s="23" t="n"/>
      <c r="H10" s="24" t="n">
        <v>50</v>
      </c>
      <c r="I10" s="24" t="n">
        <v>98</v>
      </c>
      <c r="J10" s="24" t="n">
        <v>73</v>
      </c>
      <c r="K10" s="24" t="n">
        <v>85</v>
      </c>
      <c r="L10" s="24" t="n">
        <v>82</v>
      </c>
      <c r="M10" s="24" t="n">
        <v>78</v>
      </c>
    </row>
    <row r="11">
      <c r="A11" s="16" t="inlineStr">
        <is>
          <t>愛知</t>
        </is>
      </c>
      <c r="B11" s="24" t="n">
        <v>74</v>
      </c>
      <c r="C11" s="24" t="n">
        <v>93</v>
      </c>
      <c r="D11" s="24" t="n">
        <v>78</v>
      </c>
      <c r="E11" s="24" t="n">
        <v>80</v>
      </c>
      <c r="F11" s="24" t="n">
        <v>103</v>
      </c>
      <c r="G11" s="24" t="n">
        <v>89</v>
      </c>
      <c r="H11" s="23" t="n"/>
      <c r="I11" s="24" t="n">
        <v>67</v>
      </c>
      <c r="J11" s="24" t="n">
        <v>97</v>
      </c>
      <c r="K11" s="24" t="n">
        <v>60</v>
      </c>
      <c r="L11" s="24" t="n">
        <v>75</v>
      </c>
      <c r="M11" s="24" t="n">
        <v>77</v>
      </c>
    </row>
    <row r="12">
      <c r="A12" s="16" t="inlineStr">
        <is>
          <t>岩手</t>
        </is>
      </c>
      <c r="B12" s="24" t="n">
        <v>45</v>
      </c>
      <c r="C12" s="24" t="n">
        <v>72</v>
      </c>
      <c r="D12" s="24" t="n">
        <v>67</v>
      </c>
      <c r="E12" s="24" t="n">
        <v>72</v>
      </c>
      <c r="F12" s="24" t="n">
        <v>29</v>
      </c>
      <c r="G12" s="24" t="n">
        <v>38</v>
      </c>
      <c r="H12" s="24" t="n">
        <v>57</v>
      </c>
      <c r="I12" s="23" t="n"/>
      <c r="J12" s="24" t="n">
        <v>32</v>
      </c>
      <c r="K12" s="24" t="n">
        <v>109</v>
      </c>
      <c r="L12" s="24" t="n">
        <v>65</v>
      </c>
      <c r="M12" s="24" t="n">
        <v>72</v>
      </c>
    </row>
    <row r="13">
      <c r="A13" s="16" t="inlineStr">
        <is>
          <t>北海道</t>
        </is>
      </c>
      <c r="B13" s="24" t="n">
        <v>75</v>
      </c>
      <c r="C13" s="24" t="n">
        <v>82</v>
      </c>
      <c r="D13" s="24" t="n">
        <v>77</v>
      </c>
      <c r="E13" s="24" t="n">
        <v>89</v>
      </c>
      <c r="F13" s="24" t="n">
        <v>59</v>
      </c>
      <c r="G13" s="24" t="n">
        <v>73</v>
      </c>
      <c r="H13" s="24" t="n">
        <v>72</v>
      </c>
      <c r="I13" s="24" t="n">
        <v>74</v>
      </c>
      <c r="J13" s="23" t="n"/>
      <c r="K13" s="24" t="n">
        <v>77</v>
      </c>
      <c r="L13" s="24" t="n">
        <v>92</v>
      </c>
      <c r="M13" s="24" t="n">
        <v>78</v>
      </c>
    </row>
    <row r="14">
      <c r="A14" s="16" t="inlineStr">
        <is>
          <t>金沢</t>
        </is>
      </c>
      <c r="B14" s="24" t="n">
        <v>71</v>
      </c>
      <c r="C14" s="24" t="n">
        <v>47</v>
      </c>
      <c r="D14" s="24" t="n">
        <v>51</v>
      </c>
      <c r="E14" s="24" t="n">
        <v>78</v>
      </c>
      <c r="F14" s="24" t="n">
        <v>10</v>
      </c>
      <c r="G14" s="24" t="n">
        <v>45</v>
      </c>
      <c r="H14" s="24" t="n">
        <v>37</v>
      </c>
      <c r="I14" s="24" t="n">
        <v>52</v>
      </c>
      <c r="J14" s="24" t="n"/>
      <c r="K14" s="23" t="n"/>
      <c r="L14" s="24" t="n">
        <v>53</v>
      </c>
      <c r="M14" s="24" t="n">
        <v>71</v>
      </c>
    </row>
    <row r="15">
      <c r="A15" s="16" t="inlineStr">
        <is>
          <t>佐賀</t>
        </is>
      </c>
      <c r="B15" s="24" t="n">
        <v>44</v>
      </c>
      <c r="C15" s="24" t="n"/>
      <c r="D15" s="24" t="n"/>
      <c r="E15" s="24" t="n"/>
      <c r="F15" s="24" t="n">
        <v>19</v>
      </c>
      <c r="G15" s="24" t="n"/>
      <c r="H15" s="24" t="n">
        <v>24</v>
      </c>
      <c r="I15" s="24" t="n">
        <v>72</v>
      </c>
      <c r="J15" s="24" t="n">
        <v>43</v>
      </c>
      <c r="K15" s="24" t="n">
        <v>60</v>
      </c>
      <c r="L15" s="23" t="n"/>
      <c r="M15" s="24" t="n">
        <v>70</v>
      </c>
    </row>
    <row r="16">
      <c r="A16" s="16" t="inlineStr">
        <is>
          <t>笠松</t>
        </is>
      </c>
      <c r="B16" s="24" t="n">
        <v>65</v>
      </c>
      <c r="C16" s="24" t="n"/>
      <c r="D16" s="24" t="n">
        <v>99</v>
      </c>
      <c r="E16" s="24" t="n">
        <v>84</v>
      </c>
      <c r="F16" s="24" t="n">
        <v>13</v>
      </c>
      <c r="G16" s="24" t="n"/>
      <c r="H16" s="24" t="n">
        <v>68</v>
      </c>
      <c r="I16" s="24" t="n">
        <v>65</v>
      </c>
      <c r="J16" s="24" t="n">
        <v>51</v>
      </c>
      <c r="K16" s="24" t="n">
        <v>74</v>
      </c>
      <c r="L16" s="24" t="n">
        <v>65</v>
      </c>
      <c r="M16" s="23" t="n"/>
    </row>
  </sheetData>
  <conditionalFormatting sqref="B5:M16">
    <cfRule type="colorScale" priority="1">
      <colorScale>
        <cfvo type="min"/>
        <cfvo type="num" val="7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複勝回収率の変化(移籍後 − 移籍前、ポイント)</t>
        </is>
      </c>
    </row>
    <row r="2">
      <c r="A2" s="4" t="inlineStr">
        <is>
          <t>全体平均は+21</t>
        </is>
      </c>
    </row>
    <row r="4">
      <c r="A4" s="5" t="inlineStr">
        <is>
          <t>移籍元 ＼ 移籍先</t>
        </is>
      </c>
      <c r="B4" s="5" t="inlineStr">
        <is>
          <t>大井</t>
        </is>
      </c>
      <c r="C4" s="5" t="inlineStr">
        <is>
          <t>船橋</t>
        </is>
      </c>
      <c r="D4" s="5" t="inlineStr">
        <is>
          <t>浦和</t>
        </is>
      </c>
      <c r="E4" s="5" t="inlineStr">
        <is>
          <t>川崎</t>
        </is>
      </c>
      <c r="F4" s="5" t="inlineStr">
        <is>
          <t>兵庫</t>
        </is>
      </c>
      <c r="G4" s="5" t="inlineStr">
        <is>
          <t>高知</t>
        </is>
      </c>
      <c r="H4" s="5" t="inlineStr">
        <is>
          <t>愛知</t>
        </is>
      </c>
      <c r="I4" s="5" t="inlineStr">
        <is>
          <t>岩手</t>
        </is>
      </c>
      <c r="J4" s="5" t="inlineStr">
        <is>
          <t>北海道</t>
        </is>
      </c>
      <c r="K4" s="5" t="inlineStr">
        <is>
          <t>金沢</t>
        </is>
      </c>
      <c r="L4" s="5" t="inlineStr">
        <is>
          <t>佐賀</t>
        </is>
      </c>
      <c r="M4" s="5" t="inlineStr">
        <is>
          <t>笠松</t>
        </is>
      </c>
    </row>
    <row r="5">
      <c r="A5" s="16" t="inlineStr">
        <is>
          <t>大井</t>
        </is>
      </c>
      <c r="B5" s="25" t="n"/>
      <c r="C5" s="26" t="n">
        <v>48</v>
      </c>
      <c r="D5" s="26" t="n">
        <v>40</v>
      </c>
      <c r="E5" s="26" t="n">
        <v>52</v>
      </c>
      <c r="F5" s="26" t="n">
        <v>4</v>
      </c>
      <c r="G5" s="26" t="n">
        <v>47</v>
      </c>
      <c r="H5" s="26" t="n">
        <v>39</v>
      </c>
      <c r="I5" s="26" t="n">
        <v>57</v>
      </c>
      <c r="J5" s="26" t="n">
        <v>19</v>
      </c>
      <c r="K5" s="26" t="n">
        <v>55</v>
      </c>
      <c r="L5" s="26" t="n">
        <v>72</v>
      </c>
      <c r="M5" s="26" t="n">
        <v>46</v>
      </c>
    </row>
    <row r="6">
      <c r="A6" s="16" t="inlineStr">
        <is>
          <t>船橋</t>
        </is>
      </c>
      <c r="B6" s="26" t="n">
        <v>-1</v>
      </c>
      <c r="C6" s="25" t="n"/>
      <c r="D6" s="26" t="n">
        <v>11</v>
      </c>
      <c r="E6" s="26" t="n">
        <v>2</v>
      </c>
      <c r="F6" s="26" t="n">
        <v>15</v>
      </c>
      <c r="G6" s="26" t="n">
        <v>43</v>
      </c>
      <c r="H6" s="26" t="n">
        <v>36</v>
      </c>
      <c r="I6" s="26" t="n">
        <v>53</v>
      </c>
      <c r="J6" s="26" t="n">
        <v>9</v>
      </c>
      <c r="K6" s="26" t="n">
        <v>39</v>
      </c>
      <c r="L6" s="26" t="n">
        <v>31</v>
      </c>
      <c r="M6" s="26" t="n">
        <v>51</v>
      </c>
    </row>
    <row r="7">
      <c r="A7" s="16" t="inlineStr">
        <is>
          <t>浦和</t>
        </is>
      </c>
      <c r="B7" s="26" t="n">
        <v>-22</v>
      </c>
      <c r="C7" s="26" t="n">
        <v>7</v>
      </c>
      <c r="D7" s="25" t="n"/>
      <c r="E7" s="26" t="n">
        <v>2</v>
      </c>
      <c r="F7" s="26" t="n">
        <v>-17</v>
      </c>
      <c r="G7" s="26" t="n">
        <v>26</v>
      </c>
      <c r="H7" s="26" t="n">
        <v>6</v>
      </c>
      <c r="I7" s="26" t="n">
        <v>64</v>
      </c>
      <c r="J7" s="26" t="n">
        <v>21</v>
      </c>
      <c r="K7" s="26" t="n">
        <v>49</v>
      </c>
      <c r="L7" s="26" t="n">
        <v>35</v>
      </c>
      <c r="M7" s="26" t="n">
        <v>25</v>
      </c>
    </row>
    <row r="8">
      <c r="A8" s="16" t="inlineStr">
        <is>
          <t>川崎</t>
        </is>
      </c>
      <c r="B8" s="26" t="n">
        <v>22</v>
      </c>
      <c r="C8" s="26" t="n">
        <v>47</v>
      </c>
      <c r="D8" s="26" t="n">
        <v>11</v>
      </c>
      <c r="E8" s="25" t="n"/>
      <c r="F8" s="26" t="n">
        <v>29</v>
      </c>
      <c r="G8" s="26" t="n">
        <v>47</v>
      </c>
      <c r="H8" s="26" t="n">
        <v>29</v>
      </c>
      <c r="I8" s="26" t="n">
        <v>60</v>
      </c>
      <c r="J8" s="26" t="n">
        <v>27</v>
      </c>
      <c r="K8" s="26" t="n">
        <v>44</v>
      </c>
      <c r="L8" s="26" t="n">
        <v>26</v>
      </c>
      <c r="M8" s="26" t="n">
        <v>46</v>
      </c>
    </row>
    <row r="9">
      <c r="A9" s="16" t="inlineStr">
        <is>
          <t>兵庫</t>
        </is>
      </c>
      <c r="B9" s="26" t="n">
        <v>-39</v>
      </c>
      <c r="C9" s="26" t="n"/>
      <c r="D9" s="26" t="n">
        <v>5</v>
      </c>
      <c r="E9" s="26" t="n">
        <v>46</v>
      </c>
      <c r="F9" s="25" t="n"/>
      <c r="G9" s="26" t="n">
        <v>17</v>
      </c>
      <c r="H9" s="26" t="n">
        <v>33</v>
      </c>
      <c r="I9" s="26" t="n">
        <v>26</v>
      </c>
      <c r="J9" s="26" t="n">
        <v>36</v>
      </c>
      <c r="K9" s="26" t="n">
        <v>65</v>
      </c>
      <c r="L9" s="26" t="n">
        <v>49</v>
      </c>
      <c r="M9" s="26" t="n">
        <v>34</v>
      </c>
    </row>
    <row r="10">
      <c r="A10" s="16" t="inlineStr">
        <is>
          <t>高知</t>
        </is>
      </c>
      <c r="B10" s="26" t="n">
        <v>-56</v>
      </c>
      <c r="C10" s="26" t="n"/>
      <c r="D10" s="26" t="n">
        <v>-11</v>
      </c>
      <c r="E10" s="26" t="n"/>
      <c r="F10" s="26" t="n">
        <v>6</v>
      </c>
      <c r="G10" s="25" t="n"/>
      <c r="H10" s="26" t="n">
        <v>10</v>
      </c>
      <c r="I10" s="26" t="n">
        <v>50</v>
      </c>
      <c r="J10" s="26" t="n">
        <v>17</v>
      </c>
      <c r="K10" s="26" t="n">
        <v>38</v>
      </c>
      <c r="L10" s="26" t="n">
        <v>46</v>
      </c>
      <c r="M10" s="26" t="n">
        <v>39</v>
      </c>
    </row>
    <row r="11">
      <c r="A11" s="16" t="inlineStr">
        <is>
          <t>愛知</t>
        </is>
      </c>
      <c r="B11" s="26" t="n">
        <v>-5</v>
      </c>
      <c r="C11" s="26" t="n">
        <v>-10</v>
      </c>
      <c r="D11" s="26" t="n">
        <v>-2</v>
      </c>
      <c r="E11" s="26" t="n">
        <v>-7</v>
      </c>
      <c r="F11" s="26" t="n">
        <v>58</v>
      </c>
      <c r="G11" s="26" t="n">
        <v>40</v>
      </c>
      <c r="H11" s="25" t="n"/>
      <c r="I11" s="26" t="n">
        <v>24</v>
      </c>
      <c r="J11" s="26" t="n">
        <v>50</v>
      </c>
      <c r="K11" s="26" t="n">
        <v>29</v>
      </c>
      <c r="L11" s="26" t="n">
        <v>29</v>
      </c>
      <c r="M11" s="26" t="n">
        <v>43</v>
      </c>
    </row>
    <row r="12">
      <c r="A12" s="16" t="inlineStr">
        <is>
          <t>岩手</t>
        </is>
      </c>
      <c r="B12" s="26" t="n">
        <v>-40</v>
      </c>
      <c r="C12" s="26" t="n">
        <v>-18</v>
      </c>
      <c r="D12" s="26" t="n">
        <v>-31</v>
      </c>
      <c r="E12" s="26" t="n">
        <v>-12</v>
      </c>
      <c r="F12" s="26" t="n">
        <v>-28</v>
      </c>
      <c r="G12" s="26" t="n">
        <v>-45</v>
      </c>
      <c r="H12" s="26" t="n">
        <v>-0</v>
      </c>
      <c r="I12" s="25" t="n"/>
      <c r="J12" s="26" t="n">
        <v>-20</v>
      </c>
      <c r="K12" s="26" t="n">
        <v>69</v>
      </c>
      <c r="L12" s="26" t="n">
        <v>10</v>
      </c>
      <c r="M12" s="26" t="n">
        <v>17</v>
      </c>
    </row>
    <row r="13">
      <c r="A13" s="16" t="inlineStr">
        <is>
          <t>北海道</t>
        </is>
      </c>
      <c r="B13" s="26" t="n">
        <v>-22</v>
      </c>
      <c r="C13" s="26" t="n">
        <v>-8</v>
      </c>
      <c r="D13" s="26" t="n">
        <v>-3</v>
      </c>
      <c r="E13" s="26" t="n">
        <v>-10</v>
      </c>
      <c r="F13" s="26" t="n">
        <v>-11</v>
      </c>
      <c r="G13" s="26" t="n">
        <v>4</v>
      </c>
      <c r="H13" s="26" t="n">
        <v>21</v>
      </c>
      <c r="I13" s="26" t="n">
        <v>29</v>
      </c>
      <c r="J13" s="25" t="n"/>
      <c r="K13" s="26" t="n">
        <v>48</v>
      </c>
      <c r="L13" s="26" t="n">
        <v>46</v>
      </c>
      <c r="M13" s="26" t="n">
        <v>28</v>
      </c>
    </row>
    <row r="14">
      <c r="A14" s="16" t="inlineStr">
        <is>
          <t>金沢</t>
        </is>
      </c>
      <c r="B14" s="26" t="n">
        <v>-24</v>
      </c>
      <c r="C14" s="26" t="n">
        <v>-26</v>
      </c>
      <c r="D14" s="26" t="n">
        <v>-38</v>
      </c>
      <c r="E14" s="26" t="n">
        <v>6</v>
      </c>
      <c r="F14" s="26" t="n">
        <v>-52</v>
      </c>
      <c r="G14" s="26" t="n">
        <v>-31</v>
      </c>
      <c r="H14" s="26" t="n">
        <v>-30</v>
      </c>
      <c r="I14" s="26" t="n">
        <v>14</v>
      </c>
      <c r="J14" s="26" t="n"/>
      <c r="K14" s="25" t="n"/>
      <c r="L14" s="26" t="n">
        <v>1</v>
      </c>
      <c r="M14" s="26" t="n">
        <v>-1</v>
      </c>
    </row>
    <row r="15">
      <c r="A15" s="16" t="inlineStr">
        <is>
          <t>佐賀</t>
        </is>
      </c>
      <c r="B15" s="26" t="n">
        <v>-36</v>
      </c>
      <c r="C15" s="26" t="n"/>
      <c r="D15" s="26" t="n"/>
      <c r="E15" s="26" t="n"/>
      <c r="F15" s="26" t="n">
        <v>-16</v>
      </c>
      <c r="G15" s="26" t="n"/>
      <c r="H15" s="26" t="n">
        <v>-16</v>
      </c>
      <c r="I15" s="26" t="n">
        <v>34</v>
      </c>
      <c r="J15" s="26" t="n">
        <v>-14</v>
      </c>
      <c r="K15" s="26" t="n">
        <v>32</v>
      </c>
      <c r="L15" s="25" t="n"/>
      <c r="M15" s="26" t="n">
        <v>32</v>
      </c>
    </row>
    <row r="16">
      <c r="A16" s="16" t="inlineStr">
        <is>
          <t>笠松</t>
        </is>
      </c>
      <c r="B16" s="26" t="n">
        <v>-31</v>
      </c>
      <c r="C16" s="26" t="n"/>
      <c r="D16" s="26" t="n">
        <v>28</v>
      </c>
      <c r="E16" s="26" t="n">
        <v>8</v>
      </c>
      <c r="F16" s="26" t="n">
        <v>-16</v>
      </c>
      <c r="G16" s="26" t="n"/>
      <c r="H16" s="26" t="n">
        <v>22</v>
      </c>
      <c r="I16" s="26" t="n">
        <v>35</v>
      </c>
      <c r="J16" s="26" t="n">
        <v>-6</v>
      </c>
      <c r="K16" s="26" t="n">
        <v>25</v>
      </c>
      <c r="L16" s="26" t="n">
        <v>20</v>
      </c>
      <c r="M16" s="25" t="n"/>
    </row>
  </sheetData>
  <conditionalFormatting sqref="B5:M16">
    <cfRule type="colorScale" priority="1">
      <colorScale>
        <cfvo type="min"/>
        <cfvo type="num" val="21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3" customWidth="1" min="4" max="4"/>
    <col width="13" customWidth="1" min="5" max="5"/>
    <col width="10" customWidth="1" min="6" max="6"/>
    <col width="13" customWidth="1" min="7" max="7"/>
    <col width="13" customWidth="1" min="8" max="8"/>
    <col width="10" customWidth="1" min="9" max="9"/>
    <col width="13" customWidth="1" min="10" max="10"/>
  </cols>
  <sheetData>
    <row r="1">
      <c r="A1" s="1" t="inlineStr">
        <is>
          <t>格の差ごとの回収率(移籍前3戦 → 移籍後3戦)</t>
        </is>
      </c>
    </row>
    <row r="2">
      <c r="A2" s="4" t="inlineStr">
        <is>
          <t>変化の列は数式(移籍後 − 移籍前)</t>
        </is>
      </c>
    </row>
    <row r="4">
      <c r="A4" s="5" t="inlineStr">
        <is>
          <t>方向</t>
        </is>
      </c>
      <c r="B4" s="5" t="inlineStr">
        <is>
          <t>組み合わせ数</t>
        </is>
      </c>
      <c r="C4" s="5" t="inlineStr">
        <is>
          <t>移籍後出走数</t>
        </is>
      </c>
      <c r="D4" s="5" t="inlineStr">
        <is>
          <t>単勝 移籍前(%)</t>
        </is>
      </c>
      <c r="E4" s="5" t="inlineStr">
        <is>
          <t>単勝 移籍後(%)</t>
        </is>
      </c>
      <c r="F4" s="5" t="inlineStr">
        <is>
          <t>単勝 変化</t>
        </is>
      </c>
      <c r="G4" s="5" t="inlineStr">
        <is>
          <t>複勝 移籍前(%)</t>
        </is>
      </c>
      <c r="H4" s="5" t="inlineStr">
        <is>
          <t>複勝 移籍後(%)</t>
        </is>
      </c>
      <c r="I4" s="5" t="inlineStr">
        <is>
          <t>複勝 変化</t>
        </is>
      </c>
      <c r="J4" s="5" t="inlineStr">
        <is>
          <t>移籍後の人気比</t>
        </is>
      </c>
    </row>
    <row r="5">
      <c r="A5" s="27" t="inlineStr">
        <is>
          <t>2段以上格上へ</t>
        </is>
      </c>
      <c r="B5" s="7" t="n">
        <v>24</v>
      </c>
      <c r="C5" s="7" t="n">
        <v>5058</v>
      </c>
      <c r="D5" s="28" t="n">
        <v>102</v>
      </c>
      <c r="E5" s="28" t="n">
        <v>69</v>
      </c>
      <c r="F5" s="29">
        <f>E5-D5</f>
        <v/>
      </c>
      <c r="G5" s="28" t="n">
        <v>86</v>
      </c>
      <c r="H5" s="28" t="n">
        <v>69</v>
      </c>
      <c r="I5" s="29">
        <f>H5-G5</f>
        <v/>
      </c>
      <c r="J5" s="30" t="n">
        <v>0.96</v>
      </c>
    </row>
    <row r="6">
      <c r="A6" s="27" t="inlineStr">
        <is>
          <t>1段格上へ</t>
        </is>
      </c>
      <c r="B6" s="7" t="n">
        <v>19</v>
      </c>
      <c r="C6" s="7" t="n">
        <v>4426</v>
      </c>
      <c r="D6" s="28" t="n">
        <v>57</v>
      </c>
      <c r="E6" s="28" t="n">
        <v>49</v>
      </c>
      <c r="F6" s="29">
        <f>E6-D6</f>
        <v/>
      </c>
      <c r="G6" s="28" t="n">
        <v>58</v>
      </c>
      <c r="H6" s="28" t="n">
        <v>59</v>
      </c>
      <c r="I6" s="29">
        <f>H6-G6</f>
        <v/>
      </c>
      <c r="J6" s="30" t="n">
        <v>0.87</v>
      </c>
    </row>
    <row r="7">
      <c r="A7" s="31" t="inlineStr">
        <is>
          <t>同格</t>
        </is>
      </c>
      <c r="B7" s="7" t="n">
        <v>26</v>
      </c>
      <c r="C7" s="7" t="n">
        <v>9094</v>
      </c>
      <c r="D7" s="28" t="n">
        <v>36</v>
      </c>
      <c r="E7" s="28" t="n">
        <v>64</v>
      </c>
      <c r="F7" s="29">
        <f>E7-D7</f>
        <v/>
      </c>
      <c r="G7" s="28" t="n">
        <v>45</v>
      </c>
      <c r="H7" s="28" t="n">
        <v>65</v>
      </c>
      <c r="I7" s="29">
        <f>H7-G7</f>
        <v/>
      </c>
      <c r="J7" s="30" t="n">
        <v>0.9399999999999999</v>
      </c>
    </row>
    <row r="8">
      <c r="A8" s="32" t="inlineStr">
        <is>
          <t>1段格下へ</t>
        </is>
      </c>
      <c r="B8" s="7" t="n">
        <v>23</v>
      </c>
      <c r="C8" s="7" t="n">
        <v>7969</v>
      </c>
      <c r="D8" s="28" t="n">
        <v>38</v>
      </c>
      <c r="E8" s="28" t="n">
        <v>73</v>
      </c>
      <c r="F8" s="29">
        <f>E8-D8</f>
        <v/>
      </c>
      <c r="G8" s="28" t="n">
        <v>40</v>
      </c>
      <c r="H8" s="28" t="n">
        <v>72</v>
      </c>
      <c r="I8" s="29">
        <f>H8-G8</f>
        <v/>
      </c>
      <c r="J8" s="30" t="n">
        <v>0.98</v>
      </c>
    </row>
    <row r="9">
      <c r="A9" s="32" t="inlineStr">
        <is>
          <t>2段以上格下へ</t>
        </is>
      </c>
      <c r="B9" s="7" t="n">
        <v>30</v>
      </c>
      <c r="C9" s="7" t="n">
        <v>10074</v>
      </c>
      <c r="D9" s="28" t="n">
        <v>23</v>
      </c>
      <c r="E9" s="28" t="n">
        <v>82</v>
      </c>
      <c r="F9" s="29">
        <f>E9-D9</f>
        <v/>
      </c>
      <c r="G9" s="28" t="n">
        <v>32</v>
      </c>
      <c r="H9" s="28" t="n">
        <v>76</v>
      </c>
      <c r="I9" s="29">
        <f>H9-G9</f>
        <v/>
      </c>
      <c r="J9" s="30" t="n">
        <v>0.99</v>
      </c>
    </row>
  </sheetData>
  <conditionalFormatting sqref="F5:F9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I5:I9">
    <cfRule type="colorScale" priority="2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2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3" customWidth="1" min="5" max="5"/>
    <col width="13" customWidth="1" min="6" max="6"/>
    <col width="11" customWidth="1" min="7" max="7"/>
    <col width="11" customWidth="1" min="8" max="8"/>
    <col width="13" customWidth="1" min="9" max="9"/>
    <col width="13" customWidth="1" min="10" max="10"/>
    <col width="11" customWidth="1" min="11" max="11"/>
    <col width="10" customWidth="1" min="12" max="12"/>
    <col width="10" customWidth="1" min="13" max="13"/>
  </cols>
  <sheetData>
    <row r="1">
      <c r="A1" s="1" t="inlineStr">
        <is>
          <t>移籍元 → 移籍先 の詳細(移籍後80走以上)</t>
        </is>
      </c>
    </row>
    <row r="2">
      <c r="A2" s="4" t="inlineStr">
        <is>
          <t>フィルタ・並べ替えに使えます。変化の列は数式</t>
        </is>
      </c>
    </row>
    <row r="4">
      <c r="A4" s="5" t="inlineStr">
        <is>
          <t>移籍元</t>
        </is>
      </c>
      <c r="B4" s="5" t="inlineStr">
        <is>
          <t>移籍先</t>
        </is>
      </c>
      <c r="C4" s="5" t="inlineStr">
        <is>
          <t>格の差</t>
        </is>
      </c>
      <c r="D4" s="5" t="inlineStr">
        <is>
          <t>移籍前 出走数</t>
        </is>
      </c>
      <c r="E4" s="5" t="inlineStr">
        <is>
          <t>移籍前 単勝回収率</t>
        </is>
      </c>
      <c r="F4" s="5" t="inlineStr">
        <is>
          <t>移籍前 複勝回収率</t>
        </is>
      </c>
      <c r="G4" s="5" t="inlineStr">
        <is>
          <t>移籍前 人気比</t>
        </is>
      </c>
      <c r="H4" s="5" t="inlineStr">
        <is>
          <t>移籍後 出走数</t>
        </is>
      </c>
      <c r="I4" s="5" t="inlineStr">
        <is>
          <t>移籍後 単勝回収率</t>
        </is>
      </c>
      <c r="J4" s="5" t="inlineStr">
        <is>
          <t>移籍後 複勝回収率</t>
        </is>
      </c>
      <c r="K4" s="5" t="inlineStr">
        <is>
          <t>移籍後 人気比</t>
        </is>
      </c>
      <c r="L4" s="5" t="inlineStr">
        <is>
          <t>単勝 変化</t>
        </is>
      </c>
      <c r="M4" s="5" t="inlineStr">
        <is>
          <t>複勝 変化</t>
        </is>
      </c>
    </row>
    <row r="5">
      <c r="A5" s="12" t="inlineStr">
        <is>
          <t>笠松</t>
        </is>
      </c>
      <c r="B5" s="12" t="inlineStr">
        <is>
          <t>浦和</t>
        </is>
      </c>
      <c r="C5" s="27" t="inlineStr">
        <is>
          <t>↑↑ 格上へ</t>
        </is>
      </c>
      <c r="D5" s="7" t="n">
        <v>115</v>
      </c>
      <c r="E5" s="8" t="n">
        <v>52.6</v>
      </c>
      <c r="F5" s="8" t="n">
        <v>71.59999999999999</v>
      </c>
      <c r="G5" s="30" t="n">
        <v>1.07</v>
      </c>
      <c r="H5" s="7" t="n">
        <v>109</v>
      </c>
      <c r="I5" s="8" t="n">
        <v>57.8</v>
      </c>
      <c r="J5" s="8" t="n">
        <v>99.5</v>
      </c>
      <c r="K5" s="30" t="n">
        <v>0.96</v>
      </c>
      <c r="L5" s="33">
        <f>I5-E5</f>
        <v/>
      </c>
      <c r="M5" s="33">
        <f>J5-F5</f>
        <v/>
      </c>
    </row>
    <row r="6">
      <c r="A6" s="12" t="inlineStr">
        <is>
          <t>笠松</t>
        </is>
      </c>
      <c r="B6" s="12" t="inlineStr">
        <is>
          <t>川崎</t>
        </is>
      </c>
      <c r="C6" s="27" t="inlineStr">
        <is>
          <t>↑↑ 格上へ</t>
        </is>
      </c>
      <c r="D6" s="7" t="n">
        <v>120</v>
      </c>
      <c r="E6" s="8" t="n">
        <v>64.8</v>
      </c>
      <c r="F6" s="8" t="n">
        <v>76.5</v>
      </c>
      <c r="G6" s="30" t="n">
        <v>1.08</v>
      </c>
      <c r="H6" s="7" t="n">
        <v>113</v>
      </c>
      <c r="I6" s="8" t="n">
        <v>76.90000000000001</v>
      </c>
      <c r="J6" s="8" t="n">
        <v>84.40000000000001</v>
      </c>
      <c r="K6" s="30" t="n">
        <v>1.1</v>
      </c>
      <c r="L6" s="33">
        <f>I6-E6</f>
        <v/>
      </c>
      <c r="M6" s="33">
        <f>J6-F6</f>
        <v/>
      </c>
    </row>
    <row r="7">
      <c r="A7" s="12" t="inlineStr">
        <is>
          <t>金沢</t>
        </is>
      </c>
      <c r="B7" s="12" t="inlineStr">
        <is>
          <t>川崎</t>
        </is>
      </c>
      <c r="C7" s="27" t="inlineStr">
        <is>
          <t>↑↑ 格上へ</t>
        </is>
      </c>
      <c r="D7" s="7" t="n">
        <v>106</v>
      </c>
      <c r="E7" s="8" t="n">
        <v>93</v>
      </c>
      <c r="F7" s="8" t="n">
        <v>71.2</v>
      </c>
      <c r="G7" s="30" t="n">
        <v>1.04</v>
      </c>
      <c r="H7" s="7" t="n">
        <v>104</v>
      </c>
      <c r="I7" s="8" t="n">
        <v>125.4</v>
      </c>
      <c r="J7" s="8" t="n">
        <v>77.5</v>
      </c>
      <c r="K7" s="30" t="n">
        <v>0.96</v>
      </c>
      <c r="L7" s="33">
        <f>I7-E7</f>
        <v/>
      </c>
      <c r="M7" s="33">
        <f>J7-F7</f>
        <v/>
      </c>
    </row>
    <row r="8">
      <c r="A8" s="12" t="inlineStr">
        <is>
          <t>金沢</t>
        </is>
      </c>
      <c r="B8" s="12" t="inlineStr">
        <is>
          <t>大井</t>
        </is>
      </c>
      <c r="C8" s="27" t="inlineStr">
        <is>
          <t>↑↑ 格上へ</t>
        </is>
      </c>
      <c r="D8" s="7" t="n">
        <v>175</v>
      </c>
      <c r="E8" s="8" t="n">
        <v>142.9</v>
      </c>
      <c r="F8" s="8" t="n">
        <v>95</v>
      </c>
      <c r="G8" s="30" t="n">
        <v>1.2</v>
      </c>
      <c r="H8" s="7" t="n">
        <v>168</v>
      </c>
      <c r="I8" s="8" t="n">
        <v>59.8</v>
      </c>
      <c r="J8" s="8" t="n">
        <v>70.90000000000001</v>
      </c>
      <c r="K8" s="30" t="n">
        <v>0.97</v>
      </c>
      <c r="L8" s="33">
        <f>I8-E8</f>
        <v/>
      </c>
      <c r="M8" s="33">
        <f>J8-F8</f>
        <v/>
      </c>
    </row>
    <row r="9">
      <c r="A9" s="12" t="inlineStr">
        <is>
          <t>笠松</t>
        </is>
      </c>
      <c r="B9" s="12" t="inlineStr">
        <is>
          <t>大井</t>
        </is>
      </c>
      <c r="C9" s="27" t="inlineStr">
        <is>
          <t>↑↑ 格上へ</t>
        </is>
      </c>
      <c r="D9" s="7" t="n">
        <v>126</v>
      </c>
      <c r="E9" s="8" t="n">
        <v>130.2</v>
      </c>
      <c r="F9" s="8" t="n">
        <v>95.59999999999999</v>
      </c>
      <c r="G9" s="30" t="n">
        <v>1.09</v>
      </c>
      <c r="H9" s="7" t="n">
        <v>135</v>
      </c>
      <c r="I9" s="8" t="n">
        <v>37.7</v>
      </c>
      <c r="J9" s="8" t="n">
        <v>64.7</v>
      </c>
      <c r="K9" s="30" t="n">
        <v>1.12</v>
      </c>
      <c r="L9" s="33">
        <f>I9-E9</f>
        <v/>
      </c>
      <c r="M9" s="33">
        <f>J9-F9</f>
        <v/>
      </c>
    </row>
    <row r="10">
      <c r="A10" s="12" t="inlineStr">
        <is>
          <t>金沢</t>
        </is>
      </c>
      <c r="B10" s="12" t="inlineStr">
        <is>
          <t>浦和</t>
        </is>
      </c>
      <c r="C10" s="27" t="inlineStr">
        <is>
          <t>↑↑ 格上へ</t>
        </is>
      </c>
      <c r="D10" s="7" t="n">
        <v>202</v>
      </c>
      <c r="E10" s="8" t="n">
        <v>66.40000000000001</v>
      </c>
      <c r="F10" s="8" t="n">
        <v>88.8</v>
      </c>
      <c r="G10" s="30" t="n">
        <v>1.11</v>
      </c>
      <c r="H10" s="7" t="n">
        <v>185</v>
      </c>
      <c r="I10" s="8" t="n">
        <v>39</v>
      </c>
      <c r="J10" s="8" t="n">
        <v>51.2</v>
      </c>
      <c r="K10" s="30" t="n">
        <v>0.85</v>
      </c>
      <c r="L10" s="33">
        <f>I10-E10</f>
        <v/>
      </c>
      <c r="M10" s="33">
        <f>J10-F10</f>
        <v/>
      </c>
    </row>
    <row r="11">
      <c r="A11" s="12" t="inlineStr">
        <is>
          <t>金沢</t>
        </is>
      </c>
      <c r="B11" s="12" t="inlineStr">
        <is>
          <t>船橋</t>
        </is>
      </c>
      <c r="C11" s="27" t="inlineStr">
        <is>
          <t>↑↑ 格上へ</t>
        </is>
      </c>
      <c r="D11" s="7" t="n">
        <v>92</v>
      </c>
      <c r="E11" s="8" t="n">
        <v>82</v>
      </c>
      <c r="F11" s="8" t="n">
        <v>72.40000000000001</v>
      </c>
      <c r="G11" s="30" t="n">
        <v>1.05</v>
      </c>
      <c r="H11" s="7" t="n">
        <v>88</v>
      </c>
      <c r="I11" s="8" t="n">
        <v>26.4</v>
      </c>
      <c r="J11" s="8" t="n">
        <v>46.8</v>
      </c>
      <c r="K11" s="30" t="n">
        <v>0.6899999999999999</v>
      </c>
      <c r="L11" s="33">
        <f>I11-E11</f>
        <v/>
      </c>
      <c r="M11" s="33">
        <f>J11-F11</f>
        <v/>
      </c>
    </row>
    <row r="12">
      <c r="A12" s="12" t="inlineStr">
        <is>
          <t>佐賀</t>
        </is>
      </c>
      <c r="B12" s="12" t="inlineStr">
        <is>
          <t>大井</t>
        </is>
      </c>
      <c r="C12" s="27" t="inlineStr">
        <is>
          <t>↑↑ 格上へ</t>
        </is>
      </c>
      <c r="D12" s="7" t="n">
        <v>97</v>
      </c>
      <c r="E12" s="8" t="n">
        <v>66</v>
      </c>
      <c r="F12" s="8" t="n">
        <v>80</v>
      </c>
      <c r="G12" s="30" t="n">
        <v>1.16</v>
      </c>
      <c r="H12" s="7" t="n">
        <v>91</v>
      </c>
      <c r="I12" s="8" t="n">
        <v>33.2</v>
      </c>
      <c r="J12" s="8" t="n">
        <v>43.6</v>
      </c>
      <c r="K12" s="30" t="n">
        <v>0.77</v>
      </c>
      <c r="L12" s="33">
        <f>I12-E12</f>
        <v/>
      </c>
      <c r="M12" s="33">
        <f>J12-F12</f>
        <v/>
      </c>
    </row>
    <row r="13">
      <c r="A13" s="12" t="inlineStr">
        <is>
          <t>愛知</t>
        </is>
      </c>
      <c r="B13" s="12" t="inlineStr">
        <is>
          <t>船橋</t>
        </is>
      </c>
      <c r="C13" s="27" t="inlineStr">
        <is>
          <t>↑↑ 格上へ</t>
        </is>
      </c>
      <c r="D13" s="7" t="n">
        <v>215</v>
      </c>
      <c r="E13" s="8" t="n">
        <v>152.6</v>
      </c>
      <c r="F13" s="8" t="n">
        <v>103.3</v>
      </c>
      <c r="G13" s="30" t="n">
        <v>1.3</v>
      </c>
      <c r="H13" s="7" t="n">
        <v>206</v>
      </c>
      <c r="I13" s="8" t="n">
        <v>56.1</v>
      </c>
      <c r="J13" s="8" t="n">
        <v>93.3</v>
      </c>
      <c r="K13" s="30" t="n">
        <v>1.11</v>
      </c>
      <c r="L13" s="33">
        <f>I13-E13</f>
        <v/>
      </c>
      <c r="M13" s="33">
        <f>J13-F13</f>
        <v/>
      </c>
    </row>
    <row r="14">
      <c r="A14" s="12" t="inlineStr">
        <is>
          <t>北海道</t>
        </is>
      </c>
      <c r="B14" s="12" t="inlineStr">
        <is>
          <t>川崎</t>
        </is>
      </c>
      <c r="C14" s="27" t="inlineStr">
        <is>
          <t>↑↑ 格上へ</t>
        </is>
      </c>
      <c r="D14" s="7" t="n">
        <v>424</v>
      </c>
      <c r="E14" s="8" t="n">
        <v>140.5</v>
      </c>
      <c r="F14" s="8" t="n">
        <v>99</v>
      </c>
      <c r="G14" s="30" t="n">
        <v>1.13</v>
      </c>
      <c r="H14" s="7" t="n">
        <v>398</v>
      </c>
      <c r="I14" s="8" t="n">
        <v>90.90000000000001</v>
      </c>
      <c r="J14" s="8" t="n">
        <v>89.3</v>
      </c>
      <c r="K14" s="30" t="n">
        <v>1.11</v>
      </c>
      <c r="L14" s="33">
        <f>I14-E14</f>
        <v/>
      </c>
      <c r="M14" s="33">
        <f>J14-F14</f>
        <v/>
      </c>
    </row>
    <row r="15">
      <c r="A15" s="12" t="inlineStr">
        <is>
          <t>北海道</t>
        </is>
      </c>
      <c r="B15" s="12" t="inlineStr">
        <is>
          <t>船橋</t>
        </is>
      </c>
      <c r="C15" s="27" t="inlineStr">
        <is>
          <t>↑↑ 格上へ</t>
        </is>
      </c>
      <c r="D15" s="7" t="n">
        <v>521</v>
      </c>
      <c r="E15" s="8" t="n">
        <v>90.5</v>
      </c>
      <c r="F15" s="8" t="n">
        <v>90.8</v>
      </c>
      <c r="G15" s="30" t="n">
        <v>1.1</v>
      </c>
      <c r="H15" s="7" t="n">
        <v>502</v>
      </c>
      <c r="I15" s="8" t="n">
        <v>82.3</v>
      </c>
      <c r="J15" s="8" t="n">
        <v>82.3</v>
      </c>
      <c r="K15" s="30" t="n">
        <v>1.04</v>
      </c>
      <c r="L15" s="33">
        <f>I15-E15</f>
        <v/>
      </c>
      <c r="M15" s="33">
        <f>J15-F15</f>
        <v/>
      </c>
    </row>
    <row r="16">
      <c r="A16" s="12" t="inlineStr">
        <is>
          <t>愛知</t>
        </is>
      </c>
      <c r="B16" s="12" t="inlineStr">
        <is>
          <t>川崎</t>
        </is>
      </c>
      <c r="C16" s="27" t="inlineStr">
        <is>
          <t>↑↑ 格上へ</t>
        </is>
      </c>
      <c r="D16" s="7" t="n">
        <v>156</v>
      </c>
      <c r="E16" s="8" t="n">
        <v>77.09999999999999</v>
      </c>
      <c r="F16" s="8" t="n">
        <v>86.8</v>
      </c>
      <c r="G16" s="30" t="n">
        <v>1.13</v>
      </c>
      <c r="H16" s="7" t="n">
        <v>146</v>
      </c>
      <c r="I16" s="8" t="n">
        <v>83.59999999999999</v>
      </c>
      <c r="J16" s="8" t="n">
        <v>80.3</v>
      </c>
      <c r="K16" s="30" t="n">
        <v>1.07</v>
      </c>
      <c r="L16" s="33">
        <f>I16-E16</f>
        <v/>
      </c>
      <c r="M16" s="33">
        <f>J16-F16</f>
        <v/>
      </c>
    </row>
    <row r="17">
      <c r="A17" s="12" t="inlineStr">
        <is>
          <t>愛知</t>
        </is>
      </c>
      <c r="B17" s="12" t="inlineStr">
        <is>
          <t>浦和</t>
        </is>
      </c>
      <c r="C17" s="27" t="inlineStr">
        <is>
          <t>↑↑ 格上へ</t>
        </is>
      </c>
      <c r="D17" s="7" t="n">
        <v>150</v>
      </c>
      <c r="E17" s="8" t="n">
        <v>105.7</v>
      </c>
      <c r="F17" s="8" t="n">
        <v>79.2</v>
      </c>
      <c r="G17" s="30" t="n">
        <v>1.09</v>
      </c>
      <c r="H17" s="7" t="n">
        <v>146</v>
      </c>
      <c r="I17" s="8" t="n">
        <v>162.3</v>
      </c>
      <c r="J17" s="8" t="n">
        <v>77.59999999999999</v>
      </c>
      <c r="K17" s="30" t="n">
        <v>0.96</v>
      </c>
      <c r="L17" s="33">
        <f>I17-E17</f>
        <v/>
      </c>
      <c r="M17" s="33">
        <f>J17-F17</f>
        <v/>
      </c>
    </row>
    <row r="18">
      <c r="A18" s="12" t="inlineStr">
        <is>
          <t>北海道</t>
        </is>
      </c>
      <c r="B18" s="12" t="inlineStr">
        <is>
          <t>浦和</t>
        </is>
      </c>
      <c r="C18" s="27" t="inlineStr">
        <is>
          <t>↑↑ 格上へ</t>
        </is>
      </c>
      <c r="D18" s="7" t="n">
        <v>341</v>
      </c>
      <c r="E18" s="8" t="n">
        <v>103.5</v>
      </c>
      <c r="F18" s="8" t="n">
        <v>80.09999999999999</v>
      </c>
      <c r="G18" s="30" t="n">
        <v>1.03</v>
      </c>
      <c r="H18" s="7" t="n">
        <v>347</v>
      </c>
      <c r="I18" s="8" t="n">
        <v>66.5</v>
      </c>
      <c r="J18" s="8" t="n">
        <v>77.40000000000001</v>
      </c>
      <c r="K18" s="30" t="n">
        <v>0.95</v>
      </c>
      <c r="L18" s="33">
        <f>I18-E18</f>
        <v/>
      </c>
      <c r="M18" s="33">
        <f>J18-F18</f>
        <v/>
      </c>
    </row>
    <row r="19">
      <c r="A19" s="12" t="inlineStr">
        <is>
          <t>北海道</t>
        </is>
      </c>
      <c r="B19" s="12" t="inlineStr">
        <is>
          <t>大井</t>
        </is>
      </c>
      <c r="C19" s="27" t="inlineStr">
        <is>
          <t>↑↑ 格上へ</t>
        </is>
      </c>
      <c r="D19" s="7" t="n">
        <v>741</v>
      </c>
      <c r="E19" s="8" t="n">
        <v>115.6</v>
      </c>
      <c r="F19" s="8" t="n">
        <v>97</v>
      </c>
      <c r="G19" s="30" t="n">
        <v>1.16</v>
      </c>
      <c r="H19" s="7" t="n">
        <v>728</v>
      </c>
      <c r="I19" s="8" t="n">
        <v>101.8</v>
      </c>
      <c r="J19" s="8" t="n">
        <v>75.2</v>
      </c>
      <c r="K19" s="30" t="n">
        <v>1.06</v>
      </c>
      <c r="L19" s="33">
        <f>I19-E19</f>
        <v/>
      </c>
      <c r="M19" s="33">
        <f>J19-F19</f>
        <v/>
      </c>
    </row>
    <row r="20">
      <c r="A20" s="12" t="inlineStr">
        <is>
          <t>愛知</t>
        </is>
      </c>
      <c r="B20" s="12" t="inlineStr">
        <is>
          <t>大井</t>
        </is>
      </c>
      <c r="C20" s="27" t="inlineStr">
        <is>
          <t>↑↑ 格上へ</t>
        </is>
      </c>
      <c r="D20" s="7" t="n">
        <v>177</v>
      </c>
      <c r="E20" s="8" t="n">
        <v>63.4</v>
      </c>
      <c r="F20" s="8" t="n">
        <v>78.59999999999999</v>
      </c>
      <c r="G20" s="30" t="n">
        <v>1.18</v>
      </c>
      <c r="H20" s="7" t="n">
        <v>163</v>
      </c>
      <c r="I20" s="8" t="n">
        <v>97.59999999999999</v>
      </c>
      <c r="J20" s="8" t="n">
        <v>73.59999999999999</v>
      </c>
      <c r="K20" s="30" t="n">
        <v>0.98</v>
      </c>
      <c r="L20" s="33">
        <f>I20-E20</f>
        <v/>
      </c>
      <c r="M20" s="33">
        <f>J20-F20</f>
        <v/>
      </c>
    </row>
    <row r="21">
      <c r="A21" s="12" t="inlineStr">
        <is>
          <t>岩手</t>
        </is>
      </c>
      <c r="B21" s="12" t="inlineStr">
        <is>
          <t>船橋</t>
        </is>
      </c>
      <c r="C21" s="27" t="inlineStr">
        <is>
          <t>↑↑ 格上へ</t>
        </is>
      </c>
      <c r="D21" s="7" t="n">
        <v>189</v>
      </c>
      <c r="E21" s="8" t="n">
        <v>90.40000000000001</v>
      </c>
      <c r="F21" s="8" t="n">
        <v>89.59999999999999</v>
      </c>
      <c r="G21" s="30" t="n">
        <v>1.18</v>
      </c>
      <c r="H21" s="7" t="n">
        <v>187</v>
      </c>
      <c r="I21" s="8" t="n">
        <v>95.09999999999999</v>
      </c>
      <c r="J21" s="8" t="n">
        <v>71.8</v>
      </c>
      <c r="K21" s="30" t="n">
        <v>1.01</v>
      </c>
      <c r="L21" s="33">
        <f>I21-E21</f>
        <v/>
      </c>
      <c r="M21" s="33">
        <f>J21-F21</f>
        <v/>
      </c>
    </row>
    <row r="22">
      <c r="A22" s="12" t="inlineStr">
        <is>
          <t>岩手</t>
        </is>
      </c>
      <c r="B22" s="12" t="inlineStr">
        <is>
          <t>川崎</t>
        </is>
      </c>
      <c r="C22" s="27" t="inlineStr">
        <is>
          <t>↑↑ 格上へ</t>
        </is>
      </c>
      <c r="D22" s="7" t="n">
        <v>251</v>
      </c>
      <c r="E22" s="8" t="n">
        <v>112.7</v>
      </c>
      <c r="F22" s="8" t="n">
        <v>83.90000000000001</v>
      </c>
      <c r="G22" s="30" t="n">
        <v>1.09</v>
      </c>
      <c r="H22" s="7" t="n">
        <v>244</v>
      </c>
      <c r="I22" s="8" t="n">
        <v>29.7</v>
      </c>
      <c r="J22" s="8" t="n">
        <v>71.8</v>
      </c>
      <c r="K22" s="30" t="n">
        <v>0.99</v>
      </c>
      <c r="L22" s="33">
        <f>I22-E22</f>
        <v/>
      </c>
      <c r="M22" s="33">
        <f>J22-F22</f>
        <v/>
      </c>
    </row>
    <row r="23">
      <c r="A23" s="12" t="inlineStr">
        <is>
          <t>岩手</t>
        </is>
      </c>
      <c r="B23" s="12" t="inlineStr">
        <is>
          <t>浦和</t>
        </is>
      </c>
      <c r="C23" s="27" t="inlineStr">
        <is>
          <t>↑↑ 格上へ</t>
        </is>
      </c>
      <c r="D23" s="7" t="n">
        <v>282</v>
      </c>
      <c r="E23" s="8" t="n">
        <v>164.9</v>
      </c>
      <c r="F23" s="8" t="n">
        <v>98.59999999999999</v>
      </c>
      <c r="G23" s="30" t="n">
        <v>1.22</v>
      </c>
      <c r="H23" s="7" t="n">
        <v>270</v>
      </c>
      <c r="I23" s="8" t="n">
        <v>53.4</v>
      </c>
      <c r="J23" s="8" t="n">
        <v>67.40000000000001</v>
      </c>
      <c r="K23" s="30" t="n">
        <v>1.04</v>
      </c>
      <c r="L23" s="33">
        <f>I23-E23</f>
        <v/>
      </c>
      <c r="M23" s="33">
        <f>J23-F23</f>
        <v/>
      </c>
    </row>
    <row r="24">
      <c r="A24" s="12" t="inlineStr">
        <is>
          <t>岩手</t>
        </is>
      </c>
      <c r="B24" s="12" t="inlineStr">
        <is>
          <t>大井</t>
        </is>
      </c>
      <c r="C24" s="27" t="inlineStr">
        <is>
          <t>↑↑ 格上へ</t>
        </is>
      </c>
      <c r="D24" s="7" t="n">
        <v>238</v>
      </c>
      <c r="E24" s="8" t="n">
        <v>90.59999999999999</v>
      </c>
      <c r="F24" s="8" t="n">
        <v>84.90000000000001</v>
      </c>
      <c r="G24" s="30" t="n">
        <v>1.05</v>
      </c>
      <c r="H24" s="7" t="n">
        <v>240</v>
      </c>
      <c r="I24" s="8" t="n">
        <v>18.1</v>
      </c>
      <c r="J24" s="8" t="n">
        <v>45.1</v>
      </c>
      <c r="K24" s="30" t="n">
        <v>0.84</v>
      </c>
      <c r="L24" s="33">
        <f>I24-E24</f>
        <v/>
      </c>
      <c r="M24" s="33">
        <f>J24-F24</f>
        <v/>
      </c>
    </row>
    <row r="25">
      <c r="A25" s="12" t="inlineStr">
        <is>
          <t>金沢</t>
        </is>
      </c>
      <c r="B25" s="12" t="inlineStr">
        <is>
          <t>高知</t>
        </is>
      </c>
      <c r="C25" s="27" t="inlineStr">
        <is>
          <t>↑↑ 格上へ</t>
        </is>
      </c>
      <c r="D25" s="7" t="n">
        <v>106</v>
      </c>
      <c r="E25" s="8" t="n">
        <v>67.09999999999999</v>
      </c>
      <c r="F25" s="8" t="n">
        <v>75.3</v>
      </c>
      <c r="G25" s="30" t="n">
        <v>1.07</v>
      </c>
      <c r="H25" s="7" t="n">
        <v>111</v>
      </c>
      <c r="I25" s="8" t="n">
        <v>99</v>
      </c>
      <c r="J25" s="8" t="n">
        <v>44.8</v>
      </c>
      <c r="K25" s="30" t="n">
        <v>0.67</v>
      </c>
      <c r="L25" s="33">
        <f>I25-E25</f>
        <v/>
      </c>
      <c r="M25" s="33">
        <f>J25-F25</f>
        <v/>
      </c>
    </row>
    <row r="26">
      <c r="A26" s="12" t="inlineStr">
        <is>
          <t>佐賀</t>
        </is>
      </c>
      <c r="B26" s="12" t="inlineStr">
        <is>
          <t>兵庫</t>
        </is>
      </c>
      <c r="C26" s="27" t="inlineStr">
        <is>
          <t>↑↑ 格上へ</t>
        </is>
      </c>
      <c r="D26" s="7" t="n">
        <v>127</v>
      </c>
      <c r="E26" s="8" t="n">
        <v>2.8</v>
      </c>
      <c r="F26" s="8" t="n">
        <v>35.2</v>
      </c>
      <c r="G26" s="30" t="n">
        <v>0.62</v>
      </c>
      <c r="H26" s="7" t="n">
        <v>128</v>
      </c>
      <c r="I26" s="8" t="n">
        <v>16.1</v>
      </c>
      <c r="J26" s="8" t="n">
        <v>19.4</v>
      </c>
      <c r="K26" s="30" t="n">
        <v>0.58</v>
      </c>
      <c r="L26" s="33">
        <f>I26-E26</f>
        <v/>
      </c>
      <c r="M26" s="33">
        <f>J26-F26</f>
        <v/>
      </c>
    </row>
    <row r="27">
      <c r="A27" s="12" t="inlineStr">
        <is>
          <t>笠松</t>
        </is>
      </c>
      <c r="B27" s="12" t="inlineStr">
        <is>
          <t>兵庫</t>
        </is>
      </c>
      <c r="C27" s="27" t="inlineStr">
        <is>
          <t>↑↑ 格上へ</t>
        </is>
      </c>
      <c r="D27" s="7" t="n">
        <v>130</v>
      </c>
      <c r="E27" s="8" t="n">
        <v>51.2</v>
      </c>
      <c r="F27" s="8" t="n">
        <v>29.5</v>
      </c>
      <c r="G27" s="30" t="n">
        <v>0.59</v>
      </c>
      <c r="H27" s="7" t="n">
        <v>129</v>
      </c>
      <c r="I27" s="8" t="n">
        <v>1.4</v>
      </c>
      <c r="J27" s="8" t="n">
        <v>13.5</v>
      </c>
      <c r="K27" s="30" t="n">
        <v>0.5</v>
      </c>
      <c r="L27" s="33">
        <f>I27-E27</f>
        <v/>
      </c>
      <c r="M27" s="33">
        <f>J27-F27</f>
        <v/>
      </c>
    </row>
    <row r="28">
      <c r="A28" s="12" t="inlineStr">
        <is>
          <t>金沢</t>
        </is>
      </c>
      <c r="B28" s="12" t="inlineStr">
        <is>
          <t>兵庫</t>
        </is>
      </c>
      <c r="C28" s="27" t="inlineStr">
        <is>
          <t>↑↑ 格上へ</t>
        </is>
      </c>
      <c r="D28" s="7" t="n">
        <v>127</v>
      </c>
      <c r="E28" s="8" t="n">
        <v>86.8</v>
      </c>
      <c r="F28" s="8" t="n">
        <v>62</v>
      </c>
      <c r="G28" s="30" t="n">
        <v>0.9399999999999999</v>
      </c>
      <c r="H28" s="7" t="n">
        <v>120</v>
      </c>
      <c r="I28" s="8" t="n">
        <v>4.9</v>
      </c>
      <c r="J28" s="8" t="n">
        <v>9.699999999999999</v>
      </c>
      <c r="K28" s="30" t="n">
        <v>0.42</v>
      </c>
      <c r="L28" s="33">
        <f>I28-E28</f>
        <v/>
      </c>
      <c r="M28" s="33">
        <f>J28-F28</f>
        <v/>
      </c>
    </row>
    <row r="29">
      <c r="A29" s="12" t="inlineStr">
        <is>
          <t>愛知</t>
        </is>
      </c>
      <c r="B29" s="12" t="inlineStr">
        <is>
          <t>兵庫</t>
        </is>
      </c>
      <c r="C29" s="27" t="inlineStr">
        <is>
          <t>↑ 格上へ</t>
        </is>
      </c>
      <c r="D29" s="7" t="n">
        <v>188</v>
      </c>
      <c r="E29" s="8" t="n">
        <v>17</v>
      </c>
      <c r="F29" s="8" t="n">
        <v>44.2</v>
      </c>
      <c r="G29" s="30" t="n">
        <v>0.76</v>
      </c>
      <c r="H29" s="7" t="n">
        <v>187</v>
      </c>
      <c r="I29" s="8" t="n">
        <v>85.3</v>
      </c>
      <c r="J29" s="8" t="n">
        <v>102.6</v>
      </c>
      <c r="K29" s="30" t="n">
        <v>0.92</v>
      </c>
      <c r="L29" s="33">
        <f>I29-E29</f>
        <v/>
      </c>
      <c r="M29" s="33">
        <f>J29-F29</f>
        <v/>
      </c>
    </row>
    <row r="30">
      <c r="A30" s="12" t="inlineStr">
        <is>
          <t>兵庫</t>
        </is>
      </c>
      <c r="B30" s="12" t="inlineStr">
        <is>
          <t>川崎</t>
        </is>
      </c>
      <c r="C30" s="27" t="inlineStr">
        <is>
          <t>↑ 格上へ</t>
        </is>
      </c>
      <c r="D30" s="7" t="n">
        <v>96</v>
      </c>
      <c r="E30" s="8" t="n">
        <v>28.9</v>
      </c>
      <c r="F30" s="8" t="n">
        <v>46.4</v>
      </c>
      <c r="G30" s="30" t="n">
        <v>0.86</v>
      </c>
      <c r="H30" s="7" t="n">
        <v>96</v>
      </c>
      <c r="I30" s="8" t="n">
        <v>99.7</v>
      </c>
      <c r="J30" s="8" t="n">
        <v>92.8</v>
      </c>
      <c r="K30" s="30" t="n">
        <v>0.96</v>
      </c>
      <c r="L30" s="33">
        <f>I30-E30</f>
        <v/>
      </c>
      <c r="M30" s="33">
        <f>J30-F30</f>
        <v/>
      </c>
    </row>
    <row r="31">
      <c r="A31" s="12" t="inlineStr">
        <is>
          <t>愛知</t>
        </is>
      </c>
      <c r="B31" s="12" t="inlineStr">
        <is>
          <t>高知</t>
        </is>
      </c>
      <c r="C31" s="27" t="inlineStr">
        <is>
          <t>↑ 格上へ</t>
        </is>
      </c>
      <c r="D31" s="7" t="n">
        <v>159</v>
      </c>
      <c r="E31" s="8" t="n">
        <v>39.9</v>
      </c>
      <c r="F31" s="8" t="n">
        <v>48.7</v>
      </c>
      <c r="G31" s="30" t="n">
        <v>0.97</v>
      </c>
      <c r="H31" s="7" t="n">
        <v>164</v>
      </c>
      <c r="I31" s="8" t="n">
        <v>82.40000000000001</v>
      </c>
      <c r="J31" s="8" t="n">
        <v>88.5</v>
      </c>
      <c r="K31" s="30" t="n">
        <v>0.97</v>
      </c>
      <c r="L31" s="33">
        <f>I31-E31</f>
        <v/>
      </c>
      <c r="M31" s="33">
        <f>J31-F31</f>
        <v/>
      </c>
    </row>
    <row r="32">
      <c r="A32" s="12" t="inlineStr">
        <is>
          <t>北海道</t>
        </is>
      </c>
      <c r="B32" s="12" t="inlineStr">
        <is>
          <t>高知</t>
        </is>
      </c>
      <c r="C32" s="27" t="inlineStr">
        <is>
          <t>↑ 格上へ</t>
        </is>
      </c>
      <c r="D32" s="7" t="n">
        <v>402</v>
      </c>
      <c r="E32" s="8" t="n">
        <v>67.3</v>
      </c>
      <c r="F32" s="8" t="n">
        <v>68.2</v>
      </c>
      <c r="G32" s="30" t="n">
        <v>1.06</v>
      </c>
      <c r="H32" s="7" t="n">
        <v>393</v>
      </c>
      <c r="I32" s="8" t="n">
        <v>58.6</v>
      </c>
      <c r="J32" s="8" t="n">
        <v>72.59999999999999</v>
      </c>
      <c r="K32" s="30" t="n">
        <v>0.98</v>
      </c>
      <c r="L32" s="33">
        <f>I32-E32</f>
        <v/>
      </c>
      <c r="M32" s="33">
        <f>J32-F32</f>
        <v/>
      </c>
    </row>
    <row r="33">
      <c r="A33" s="12" t="inlineStr">
        <is>
          <t>佐賀</t>
        </is>
      </c>
      <c r="B33" s="12" t="inlineStr">
        <is>
          <t>岩手</t>
        </is>
      </c>
      <c r="C33" s="27" t="inlineStr">
        <is>
          <t>↑ 格上へ</t>
        </is>
      </c>
      <c r="D33" s="7" t="n">
        <v>275</v>
      </c>
      <c r="E33" s="8" t="n">
        <v>43.5</v>
      </c>
      <c r="F33" s="8" t="n">
        <v>38.1</v>
      </c>
      <c r="G33" s="30" t="n">
        <v>0.66</v>
      </c>
      <c r="H33" s="7" t="n">
        <v>268</v>
      </c>
      <c r="I33" s="8" t="n">
        <v>75.40000000000001</v>
      </c>
      <c r="J33" s="8" t="n">
        <v>72.40000000000001</v>
      </c>
      <c r="K33" s="30" t="n">
        <v>1.01</v>
      </c>
      <c r="L33" s="33">
        <f>I33-E33</f>
        <v/>
      </c>
      <c r="M33" s="33">
        <f>J33-F33</f>
        <v/>
      </c>
    </row>
    <row r="34">
      <c r="A34" s="12" t="inlineStr">
        <is>
          <t>高知</t>
        </is>
      </c>
      <c r="B34" s="12" t="inlineStr">
        <is>
          <t>浦和</t>
        </is>
      </c>
      <c r="C34" s="27" t="inlineStr">
        <is>
          <t>↑ 格上へ</t>
        </is>
      </c>
      <c r="D34" s="7" t="n">
        <v>85</v>
      </c>
      <c r="E34" s="8" t="n">
        <v>113.2</v>
      </c>
      <c r="F34" s="8" t="n">
        <v>79.90000000000001</v>
      </c>
      <c r="G34" s="30" t="n">
        <v>0.66</v>
      </c>
      <c r="H34" s="7" t="n">
        <v>90</v>
      </c>
      <c r="I34" s="8" t="n">
        <v>81.09999999999999</v>
      </c>
      <c r="J34" s="8" t="n">
        <v>69.2</v>
      </c>
      <c r="K34" s="30" t="n">
        <v>1.11</v>
      </c>
      <c r="L34" s="33">
        <f>I34-E34</f>
        <v/>
      </c>
      <c r="M34" s="33">
        <f>J34-F34</f>
        <v/>
      </c>
    </row>
    <row r="35">
      <c r="A35" s="12" t="inlineStr">
        <is>
          <t>笠松</t>
        </is>
      </c>
      <c r="B35" s="12" t="inlineStr">
        <is>
          <t>愛知</t>
        </is>
      </c>
      <c r="C35" s="27" t="inlineStr">
        <is>
          <t>↑ 格上へ</t>
        </is>
      </c>
      <c r="D35" s="7" t="n">
        <v>243</v>
      </c>
      <c r="E35" s="8" t="n">
        <v>41.8</v>
      </c>
      <c r="F35" s="8" t="n">
        <v>46.9</v>
      </c>
      <c r="G35" s="30" t="n">
        <v>0.77</v>
      </c>
      <c r="H35" s="7" t="n">
        <v>234</v>
      </c>
      <c r="I35" s="8" t="n">
        <v>23.9</v>
      </c>
      <c r="J35" s="8" t="n">
        <v>68.40000000000001</v>
      </c>
      <c r="K35" s="30" t="n">
        <v>0.8</v>
      </c>
      <c r="L35" s="33">
        <f>I35-E35</f>
        <v/>
      </c>
      <c r="M35" s="33">
        <f>J35-F35</f>
        <v/>
      </c>
    </row>
    <row r="36">
      <c r="A36" s="12" t="inlineStr">
        <is>
          <t>笠松</t>
        </is>
      </c>
      <c r="B36" s="12" t="inlineStr">
        <is>
          <t>岩手</t>
        </is>
      </c>
      <c r="C36" s="27" t="inlineStr">
        <is>
          <t>↑ 格上へ</t>
        </is>
      </c>
      <c r="D36" s="7" t="n">
        <v>312</v>
      </c>
      <c r="E36" s="8" t="n">
        <v>30</v>
      </c>
      <c r="F36" s="8" t="n">
        <v>30.3</v>
      </c>
      <c r="G36" s="30" t="n">
        <v>0.63</v>
      </c>
      <c r="H36" s="7" t="n">
        <v>308</v>
      </c>
      <c r="I36" s="8" t="n">
        <v>39.9</v>
      </c>
      <c r="J36" s="8" t="n">
        <v>65.40000000000001</v>
      </c>
      <c r="K36" s="30" t="n">
        <v>0.99</v>
      </c>
      <c r="L36" s="33">
        <f>I36-E36</f>
        <v/>
      </c>
      <c r="M36" s="33">
        <f>J36-F36</f>
        <v/>
      </c>
    </row>
    <row r="37">
      <c r="A37" s="12" t="inlineStr">
        <is>
          <t>兵庫</t>
        </is>
      </c>
      <c r="B37" s="12" t="inlineStr">
        <is>
          <t>浦和</t>
        </is>
      </c>
      <c r="C37" s="27" t="inlineStr">
        <is>
          <t>↑ 格上へ</t>
        </is>
      </c>
      <c r="D37" s="7" t="n">
        <v>152</v>
      </c>
      <c r="E37" s="8" t="n">
        <v>109.4</v>
      </c>
      <c r="F37" s="8" t="n">
        <v>55.6</v>
      </c>
      <c r="G37" s="30" t="n">
        <v>0.72</v>
      </c>
      <c r="H37" s="7" t="n">
        <v>145</v>
      </c>
      <c r="I37" s="8" t="n">
        <v>34.4</v>
      </c>
      <c r="J37" s="8" t="n">
        <v>60.2</v>
      </c>
      <c r="K37" s="30" t="n">
        <v>0.83</v>
      </c>
      <c r="L37" s="33">
        <f>I37-E37</f>
        <v/>
      </c>
      <c r="M37" s="33">
        <f>J37-F37</f>
        <v/>
      </c>
    </row>
    <row r="38">
      <c r="A38" s="12" t="inlineStr">
        <is>
          <t>北海道</t>
        </is>
      </c>
      <c r="B38" s="12" t="inlineStr">
        <is>
          <t>兵庫</t>
        </is>
      </c>
      <c r="C38" s="27" t="inlineStr">
        <is>
          <t>↑ 格上へ</t>
        </is>
      </c>
      <c r="D38" s="7" t="n">
        <v>779</v>
      </c>
      <c r="E38" s="8" t="n">
        <v>66.2</v>
      </c>
      <c r="F38" s="8" t="n">
        <v>69.59999999999999</v>
      </c>
      <c r="G38" s="30" t="n">
        <v>1.01</v>
      </c>
      <c r="H38" s="7" t="n">
        <v>765</v>
      </c>
      <c r="I38" s="8" t="n">
        <v>56</v>
      </c>
      <c r="J38" s="8" t="n">
        <v>58.8</v>
      </c>
      <c r="K38" s="30" t="n">
        <v>0.89</v>
      </c>
      <c r="L38" s="33">
        <f>I38-E38</f>
        <v/>
      </c>
      <c r="M38" s="33">
        <f>J38-F38</f>
        <v/>
      </c>
    </row>
    <row r="39">
      <c r="A39" s="12" t="inlineStr">
        <is>
          <t>金沢</t>
        </is>
      </c>
      <c r="B39" s="12" t="inlineStr">
        <is>
          <t>岩手</t>
        </is>
      </c>
      <c r="C39" s="27" t="inlineStr">
        <is>
          <t>↑ 格上へ</t>
        </is>
      </c>
      <c r="D39" s="7" t="n">
        <v>202</v>
      </c>
      <c r="E39" s="8" t="n">
        <v>29.9</v>
      </c>
      <c r="F39" s="8" t="n">
        <v>38.5</v>
      </c>
      <c r="G39" s="30" t="n">
        <v>0.66</v>
      </c>
      <c r="H39" s="7" t="n">
        <v>189</v>
      </c>
      <c r="I39" s="8" t="n">
        <v>30.9</v>
      </c>
      <c r="J39" s="8" t="n">
        <v>52.2</v>
      </c>
      <c r="K39" s="30" t="n">
        <v>0.91</v>
      </c>
      <c r="L39" s="33">
        <f>I39-E39</f>
        <v/>
      </c>
      <c r="M39" s="33">
        <f>J39-F39</f>
        <v/>
      </c>
    </row>
    <row r="40">
      <c r="A40" s="12" t="inlineStr">
        <is>
          <t>笠松</t>
        </is>
      </c>
      <c r="B40" s="12" t="inlineStr">
        <is>
          <t>北海道</t>
        </is>
      </c>
      <c r="C40" s="27" t="inlineStr">
        <is>
          <t>↑ 格上へ</t>
        </is>
      </c>
      <c r="D40" s="7" t="n">
        <v>263</v>
      </c>
      <c r="E40" s="8" t="n">
        <v>59.5</v>
      </c>
      <c r="F40" s="8" t="n">
        <v>57</v>
      </c>
      <c r="G40" s="30" t="n">
        <v>0.85</v>
      </c>
      <c r="H40" s="7" t="n">
        <v>266</v>
      </c>
      <c r="I40" s="8" t="n">
        <v>40.9</v>
      </c>
      <c r="J40" s="8" t="n">
        <v>50.7</v>
      </c>
      <c r="K40" s="30" t="n">
        <v>0.9</v>
      </c>
      <c r="L40" s="33">
        <f>I40-E40</f>
        <v/>
      </c>
      <c r="M40" s="33">
        <f>J40-F40</f>
        <v/>
      </c>
    </row>
    <row r="41">
      <c r="A41" s="12" t="inlineStr">
        <is>
          <t>兵庫</t>
        </is>
      </c>
      <c r="B41" s="12" t="inlineStr">
        <is>
          <t>大井</t>
        </is>
      </c>
      <c r="C41" s="27" t="inlineStr">
        <is>
          <t>↑ 格上へ</t>
        </is>
      </c>
      <c r="D41" s="7" t="n">
        <v>147</v>
      </c>
      <c r="E41" s="8" t="n">
        <v>89.3</v>
      </c>
      <c r="F41" s="8" t="n">
        <v>89.3</v>
      </c>
      <c r="G41" s="30" t="n">
        <v>1.04</v>
      </c>
      <c r="H41" s="7" t="n">
        <v>143</v>
      </c>
      <c r="I41" s="8" t="n">
        <v>37.8</v>
      </c>
      <c r="J41" s="8" t="n">
        <v>50.4</v>
      </c>
      <c r="K41" s="30" t="n">
        <v>0.68</v>
      </c>
      <c r="L41" s="33">
        <f>I41-E41</f>
        <v/>
      </c>
      <c r="M41" s="33">
        <f>J41-F41</f>
        <v/>
      </c>
    </row>
    <row r="42">
      <c r="A42" s="12" t="inlineStr">
        <is>
          <t>佐賀</t>
        </is>
      </c>
      <c r="B42" s="12" t="inlineStr">
        <is>
          <t>北海道</t>
        </is>
      </c>
      <c r="C42" s="27" t="inlineStr">
        <is>
          <t>↑ 格上へ</t>
        </is>
      </c>
      <c r="D42" s="7" t="n">
        <v>280</v>
      </c>
      <c r="E42" s="8" t="n">
        <v>52.3</v>
      </c>
      <c r="F42" s="8" t="n">
        <v>56.9</v>
      </c>
      <c r="G42" s="30" t="n">
        <v>0.88</v>
      </c>
      <c r="H42" s="7" t="n">
        <v>277</v>
      </c>
      <c r="I42" s="8" t="n">
        <v>35.1</v>
      </c>
      <c r="J42" s="8" t="n">
        <v>43.1</v>
      </c>
      <c r="K42" s="30" t="n">
        <v>0.87</v>
      </c>
      <c r="L42" s="33">
        <f>I42-E42</f>
        <v/>
      </c>
      <c r="M42" s="33">
        <f>J42-F42</f>
        <v/>
      </c>
    </row>
    <row r="43">
      <c r="A43" s="12" t="inlineStr">
        <is>
          <t>高知</t>
        </is>
      </c>
      <c r="B43" s="12" t="inlineStr">
        <is>
          <t>大井</t>
        </is>
      </c>
      <c r="C43" s="27" t="inlineStr">
        <is>
          <t>↑ 格上へ</t>
        </is>
      </c>
      <c r="D43" s="7" t="n">
        <v>128</v>
      </c>
      <c r="E43" s="8" t="n">
        <v>213.4</v>
      </c>
      <c r="F43" s="8" t="n">
        <v>97.90000000000001</v>
      </c>
      <c r="G43" s="30" t="n">
        <v>1.02</v>
      </c>
      <c r="H43" s="7" t="n">
        <v>127</v>
      </c>
      <c r="I43" s="8" t="n">
        <v>26.4</v>
      </c>
      <c r="J43" s="8" t="n">
        <v>42.2</v>
      </c>
      <c r="K43" s="30" t="n">
        <v>0.93</v>
      </c>
      <c r="L43" s="33">
        <f>I43-E43</f>
        <v/>
      </c>
      <c r="M43" s="33">
        <f>J43-F43</f>
        <v/>
      </c>
    </row>
    <row r="44">
      <c r="A44" s="12" t="inlineStr">
        <is>
          <t>岩手</t>
        </is>
      </c>
      <c r="B44" s="12" t="inlineStr">
        <is>
          <t>高知</t>
        </is>
      </c>
      <c r="C44" s="27" t="inlineStr">
        <is>
          <t>↑ 格上へ</t>
        </is>
      </c>
      <c r="D44" s="7" t="n">
        <v>88</v>
      </c>
      <c r="E44" s="8" t="n">
        <v>128.8</v>
      </c>
      <c r="F44" s="8" t="n">
        <v>83.3</v>
      </c>
      <c r="G44" s="30" t="n">
        <v>0.9</v>
      </c>
      <c r="H44" s="7" t="n">
        <v>93</v>
      </c>
      <c r="I44" s="8" t="n">
        <v>19.6</v>
      </c>
      <c r="J44" s="8" t="n">
        <v>37.8</v>
      </c>
      <c r="K44" s="30" t="n">
        <v>0.68</v>
      </c>
      <c r="L44" s="33">
        <f>I44-E44</f>
        <v/>
      </c>
      <c r="M44" s="33">
        <f>J44-F44</f>
        <v/>
      </c>
    </row>
    <row r="45">
      <c r="A45" s="12" t="inlineStr">
        <is>
          <t>金沢</t>
        </is>
      </c>
      <c r="B45" s="12" t="inlineStr">
        <is>
          <t>愛知</t>
        </is>
      </c>
      <c r="C45" s="27" t="inlineStr">
        <is>
          <t>↑ 格上へ</t>
        </is>
      </c>
      <c r="D45" s="7" t="n">
        <v>457</v>
      </c>
      <c r="E45" s="8" t="n">
        <v>39.1</v>
      </c>
      <c r="F45" s="8" t="n">
        <v>66.90000000000001</v>
      </c>
      <c r="G45" s="30" t="n">
        <v>0.9</v>
      </c>
      <c r="H45" s="7" t="n">
        <v>426</v>
      </c>
      <c r="I45" s="8" t="n">
        <v>29.3</v>
      </c>
      <c r="J45" s="8" t="n">
        <v>36.9</v>
      </c>
      <c r="K45" s="30" t="n">
        <v>0.72</v>
      </c>
      <c r="L45" s="33">
        <f>I45-E45</f>
        <v/>
      </c>
      <c r="M45" s="33">
        <f>J45-F45</f>
        <v/>
      </c>
    </row>
    <row r="46">
      <c r="A46" s="12" t="inlineStr">
        <is>
          <t>岩手</t>
        </is>
      </c>
      <c r="B46" s="12" t="inlineStr">
        <is>
          <t>兵庫</t>
        </is>
      </c>
      <c r="C46" s="27" t="inlineStr">
        <is>
          <t>↑ 格上へ</t>
        </is>
      </c>
      <c r="D46" s="7" t="n">
        <v>141</v>
      </c>
      <c r="E46" s="8" t="n">
        <v>19.1</v>
      </c>
      <c r="F46" s="8" t="n">
        <v>56.7</v>
      </c>
      <c r="G46" s="30" t="n">
        <v>0.87</v>
      </c>
      <c r="H46" s="7" t="n">
        <v>145</v>
      </c>
      <c r="I46" s="8" t="n">
        <v>51.8</v>
      </c>
      <c r="J46" s="8" t="n">
        <v>28.6</v>
      </c>
      <c r="K46" s="30" t="n">
        <v>0.51</v>
      </c>
      <c r="L46" s="33">
        <f>I46-E46</f>
        <v/>
      </c>
      <c r="M46" s="33">
        <f>J46-F46</f>
        <v/>
      </c>
    </row>
    <row r="47">
      <c r="A47" s="12" t="inlineStr">
        <is>
          <t>佐賀</t>
        </is>
      </c>
      <c r="B47" s="12" t="inlineStr">
        <is>
          <t>愛知</t>
        </is>
      </c>
      <c r="C47" s="27" t="inlineStr">
        <is>
          <t>↑ 格上へ</t>
        </is>
      </c>
      <c r="D47" s="7" t="n">
        <v>118</v>
      </c>
      <c r="E47" s="8" t="n">
        <v>9.699999999999999</v>
      </c>
      <c r="F47" s="8" t="n">
        <v>39.2</v>
      </c>
      <c r="G47" s="30" t="n">
        <v>0.73</v>
      </c>
      <c r="H47" s="7" t="n">
        <v>110</v>
      </c>
      <c r="I47" s="8" t="n">
        <v>33.2</v>
      </c>
      <c r="J47" s="8" t="n">
        <v>23.6</v>
      </c>
      <c r="K47" s="30" t="n">
        <v>0.8100000000000001</v>
      </c>
      <c r="L47" s="33">
        <f>I47-E47</f>
        <v/>
      </c>
      <c r="M47" s="33">
        <f>J47-F47</f>
        <v/>
      </c>
    </row>
    <row r="48">
      <c r="A48" s="12" t="inlineStr">
        <is>
          <t>愛知</t>
        </is>
      </c>
      <c r="B48" s="12" t="inlineStr">
        <is>
          <t>北海道</t>
        </is>
      </c>
      <c r="C48" s="31" t="inlineStr">
        <is>
          <t>＝ 同格</t>
        </is>
      </c>
      <c r="D48" s="7" t="n">
        <v>314</v>
      </c>
      <c r="E48" s="8" t="n">
        <v>35.9</v>
      </c>
      <c r="F48" s="8" t="n">
        <v>46.6</v>
      </c>
      <c r="G48" s="30" t="n">
        <v>0.84</v>
      </c>
      <c r="H48" s="7" t="n">
        <v>310</v>
      </c>
      <c r="I48" s="8" t="n">
        <v>69.90000000000001</v>
      </c>
      <c r="J48" s="8" t="n">
        <v>96.8</v>
      </c>
      <c r="K48" s="30" t="n">
        <v>1</v>
      </c>
      <c r="L48" s="33">
        <f>I48-E48</f>
        <v/>
      </c>
      <c r="M48" s="33">
        <f>J48-F48</f>
        <v/>
      </c>
    </row>
    <row r="49">
      <c r="A49" s="12" t="inlineStr">
        <is>
          <t>大井</t>
        </is>
      </c>
      <c r="B49" s="12" t="inlineStr">
        <is>
          <t>川崎</t>
        </is>
      </c>
      <c r="C49" s="31" t="inlineStr">
        <is>
          <t>＝ 同格</t>
        </is>
      </c>
      <c r="D49" s="7" t="n">
        <v>399</v>
      </c>
      <c r="E49" s="8" t="n">
        <v>16.2</v>
      </c>
      <c r="F49" s="8" t="n">
        <v>37.5</v>
      </c>
      <c r="G49" s="30" t="n">
        <v>0.47</v>
      </c>
      <c r="H49" s="7" t="n">
        <v>388</v>
      </c>
      <c r="I49" s="8" t="n">
        <v>53</v>
      </c>
      <c r="J49" s="8" t="n">
        <v>89.40000000000001</v>
      </c>
      <c r="K49" s="30" t="n">
        <v>1.13</v>
      </c>
      <c r="L49" s="33">
        <f>I49-E49</f>
        <v/>
      </c>
      <c r="M49" s="33">
        <f>J49-F49</f>
        <v/>
      </c>
    </row>
    <row r="50">
      <c r="A50" s="12" t="inlineStr">
        <is>
          <t>大井</t>
        </is>
      </c>
      <c r="B50" s="12" t="inlineStr">
        <is>
          <t>船橋</t>
        </is>
      </c>
      <c r="C50" s="31" t="inlineStr">
        <is>
          <t>＝ 同格</t>
        </is>
      </c>
      <c r="D50" s="7" t="n">
        <v>384</v>
      </c>
      <c r="E50" s="8" t="n">
        <v>33.7</v>
      </c>
      <c r="F50" s="8" t="n">
        <v>36.5</v>
      </c>
      <c r="G50" s="30" t="n">
        <v>0.66</v>
      </c>
      <c r="H50" s="7" t="n">
        <v>369</v>
      </c>
      <c r="I50" s="8" t="n">
        <v>71.09999999999999</v>
      </c>
      <c r="J50" s="8" t="n">
        <v>84.59999999999999</v>
      </c>
      <c r="K50" s="30" t="n">
        <v>1.06</v>
      </c>
      <c r="L50" s="33">
        <f>I50-E50</f>
        <v/>
      </c>
      <c r="M50" s="33">
        <f>J50-F50</f>
        <v/>
      </c>
    </row>
    <row r="51">
      <c r="A51" s="12" t="inlineStr">
        <is>
          <t>川崎</t>
        </is>
      </c>
      <c r="B51" s="12" t="inlineStr">
        <is>
          <t>船橋</t>
        </is>
      </c>
      <c r="C51" s="31" t="inlineStr">
        <is>
          <t>＝ 同格</t>
        </is>
      </c>
      <c r="D51" s="7" t="n">
        <v>212</v>
      </c>
      <c r="E51" s="8" t="n">
        <v>10.5</v>
      </c>
      <c r="F51" s="8" t="n">
        <v>31</v>
      </c>
      <c r="G51" s="30" t="n">
        <v>0.57</v>
      </c>
      <c r="H51" s="7" t="n">
        <v>207</v>
      </c>
      <c r="I51" s="8" t="n">
        <v>130.5</v>
      </c>
      <c r="J51" s="8" t="n">
        <v>77.8</v>
      </c>
      <c r="K51" s="30" t="n">
        <v>0.91</v>
      </c>
      <c r="L51" s="33">
        <f>I51-E51</f>
        <v/>
      </c>
      <c r="M51" s="33">
        <f>J51-F51</f>
        <v/>
      </c>
    </row>
    <row r="52">
      <c r="A52" s="12" t="inlineStr">
        <is>
          <t>北海道</t>
        </is>
      </c>
      <c r="B52" s="12" t="inlineStr">
        <is>
          <t>岩手</t>
        </is>
      </c>
      <c r="C52" s="31" t="inlineStr">
        <is>
          <t>＝ 同格</t>
        </is>
      </c>
      <c r="D52" s="7" t="n">
        <v>1056</v>
      </c>
      <c r="E52" s="8" t="n">
        <v>34</v>
      </c>
      <c r="F52" s="8" t="n">
        <v>44.9</v>
      </c>
      <c r="G52" s="30" t="n">
        <v>0.73</v>
      </c>
      <c r="H52" s="7" t="n">
        <v>987</v>
      </c>
      <c r="I52" s="8" t="n">
        <v>52.9</v>
      </c>
      <c r="J52" s="8" t="n">
        <v>74</v>
      </c>
      <c r="K52" s="30" t="n">
        <v>1.04</v>
      </c>
      <c r="L52" s="33">
        <f>I52-E52</f>
        <v/>
      </c>
      <c r="M52" s="33">
        <f>J52-F52</f>
        <v/>
      </c>
    </row>
    <row r="53">
      <c r="A53" s="12" t="inlineStr">
        <is>
          <t>笠松</t>
        </is>
      </c>
      <c r="B53" s="12" t="inlineStr">
        <is>
          <t>金沢</t>
        </is>
      </c>
      <c r="C53" s="31" t="inlineStr">
        <is>
          <t>＝ 同格</t>
        </is>
      </c>
      <c r="D53" s="7" t="n">
        <v>288</v>
      </c>
      <c r="E53" s="8" t="n">
        <v>42.6</v>
      </c>
      <c r="F53" s="8" t="n">
        <v>48.8</v>
      </c>
      <c r="G53" s="30" t="n">
        <v>0.77</v>
      </c>
      <c r="H53" s="7" t="n">
        <v>274</v>
      </c>
      <c r="I53" s="8" t="n">
        <v>38.1</v>
      </c>
      <c r="J53" s="8" t="n">
        <v>73.8</v>
      </c>
      <c r="K53" s="30" t="n">
        <v>0.96</v>
      </c>
      <c r="L53" s="33">
        <f>I53-E53</f>
        <v/>
      </c>
      <c r="M53" s="33">
        <f>J53-F53</f>
        <v/>
      </c>
    </row>
    <row r="54">
      <c r="A54" s="12" t="inlineStr">
        <is>
          <t>北海道</t>
        </is>
      </c>
      <c r="B54" s="12" t="inlineStr">
        <is>
          <t>愛知</t>
        </is>
      </c>
      <c r="C54" s="31" t="inlineStr">
        <is>
          <t>＝ 同格</t>
        </is>
      </c>
      <c r="D54" s="7" t="n">
        <v>903</v>
      </c>
      <c r="E54" s="8" t="n">
        <v>56.1</v>
      </c>
      <c r="F54" s="8" t="n">
        <v>51</v>
      </c>
      <c r="G54" s="30" t="n">
        <v>0.8100000000000001</v>
      </c>
      <c r="H54" s="7" t="n">
        <v>897</v>
      </c>
      <c r="I54" s="8" t="n">
        <v>71.09999999999999</v>
      </c>
      <c r="J54" s="8" t="n">
        <v>71.59999999999999</v>
      </c>
      <c r="K54" s="30" t="n">
        <v>0.99</v>
      </c>
      <c r="L54" s="33">
        <f>I54-E54</f>
        <v/>
      </c>
      <c r="M54" s="33">
        <f>J54-F54</f>
        <v/>
      </c>
    </row>
    <row r="55">
      <c r="A55" s="12" t="inlineStr">
        <is>
          <t>金沢</t>
        </is>
      </c>
      <c r="B55" s="12" t="inlineStr">
        <is>
          <t>笠松</t>
        </is>
      </c>
      <c r="C55" s="31" t="inlineStr">
        <is>
          <t>＝ 同格</t>
        </is>
      </c>
      <c r="D55" s="7" t="n">
        <v>239</v>
      </c>
      <c r="E55" s="8" t="n">
        <v>28.8</v>
      </c>
      <c r="F55" s="8" t="n">
        <v>71.2</v>
      </c>
      <c r="G55" s="30" t="n">
        <v>0.98</v>
      </c>
      <c r="H55" s="7" t="n">
        <v>232</v>
      </c>
      <c r="I55" s="8" t="n">
        <v>75.59999999999999</v>
      </c>
      <c r="J55" s="8" t="n">
        <v>70.59999999999999</v>
      </c>
      <c r="K55" s="30" t="n">
        <v>1.05</v>
      </c>
      <c r="L55" s="33">
        <f>I55-E55</f>
        <v/>
      </c>
      <c r="M55" s="33">
        <f>J55-F55</f>
        <v/>
      </c>
    </row>
    <row r="56">
      <c r="A56" s="12" t="inlineStr">
        <is>
          <t>佐賀</t>
        </is>
      </c>
      <c r="B56" s="12" t="inlineStr">
        <is>
          <t>笠松</t>
        </is>
      </c>
      <c r="C56" s="31" t="inlineStr">
        <is>
          <t>＝ 同格</t>
        </is>
      </c>
      <c r="D56" s="7" t="n">
        <v>97</v>
      </c>
      <c r="E56" s="8" t="n">
        <v>31</v>
      </c>
      <c r="F56" s="8" t="n">
        <v>38</v>
      </c>
      <c r="G56" s="30" t="n">
        <v>0.76</v>
      </c>
      <c r="H56" s="7" t="n">
        <v>88</v>
      </c>
      <c r="I56" s="8" t="n">
        <v>37.7</v>
      </c>
      <c r="J56" s="8" t="n">
        <v>70</v>
      </c>
      <c r="K56" s="30" t="n">
        <v>1.01</v>
      </c>
      <c r="L56" s="33">
        <f>I56-E56</f>
        <v/>
      </c>
      <c r="M56" s="33">
        <f>J56-F56</f>
        <v/>
      </c>
    </row>
    <row r="57">
      <c r="A57" s="12" t="inlineStr">
        <is>
          <t>船橋</t>
        </is>
      </c>
      <c r="B57" s="12" t="inlineStr">
        <is>
          <t>浦和</t>
        </is>
      </c>
      <c r="C57" s="31" t="inlineStr">
        <is>
          <t>＝ 同格</t>
        </is>
      </c>
      <c r="D57" s="7" t="n">
        <v>331</v>
      </c>
      <c r="E57" s="8" t="n">
        <v>37.3</v>
      </c>
      <c r="F57" s="8" t="n">
        <v>56.6</v>
      </c>
      <c r="G57" s="30" t="n">
        <v>0.76</v>
      </c>
      <c r="H57" s="7" t="n">
        <v>351</v>
      </c>
      <c r="I57" s="8" t="n">
        <v>43.5</v>
      </c>
      <c r="J57" s="8" t="n">
        <v>67.59999999999999</v>
      </c>
      <c r="K57" s="30" t="n">
        <v>0.95</v>
      </c>
      <c r="L57" s="33">
        <f>I57-E57</f>
        <v/>
      </c>
      <c r="M57" s="33">
        <f>J57-F57</f>
        <v/>
      </c>
    </row>
    <row r="58">
      <c r="A58" s="12" t="inlineStr">
        <is>
          <t>愛知</t>
        </is>
      </c>
      <c r="B58" s="12" t="inlineStr">
        <is>
          <t>岩手</t>
        </is>
      </c>
      <c r="C58" s="31" t="inlineStr">
        <is>
          <t>＝ 同格</t>
        </is>
      </c>
      <c r="D58" s="7" t="n">
        <v>494</v>
      </c>
      <c r="E58" s="8" t="n">
        <v>22.7</v>
      </c>
      <c r="F58" s="8" t="n">
        <v>43.1</v>
      </c>
      <c r="G58" s="30" t="n">
        <v>0.74</v>
      </c>
      <c r="H58" s="7" t="n">
        <v>473</v>
      </c>
      <c r="I58" s="8" t="n">
        <v>46.8</v>
      </c>
      <c r="J58" s="8" t="n">
        <v>67</v>
      </c>
      <c r="K58" s="30" t="n">
        <v>0.95</v>
      </c>
      <c r="L58" s="33">
        <f>I58-E58</f>
        <v/>
      </c>
      <c r="M58" s="33">
        <f>J58-F58</f>
        <v/>
      </c>
    </row>
    <row r="59">
      <c r="A59" s="12" t="inlineStr">
        <is>
          <t>大井</t>
        </is>
      </c>
      <c r="B59" s="12" t="inlineStr">
        <is>
          <t>浦和</t>
        </is>
      </c>
      <c r="C59" s="31" t="inlineStr">
        <is>
          <t>＝ 同格</t>
        </is>
      </c>
      <c r="D59" s="7" t="n">
        <v>490</v>
      </c>
      <c r="E59" s="8" t="n">
        <v>15.2</v>
      </c>
      <c r="F59" s="8" t="n">
        <v>26</v>
      </c>
      <c r="G59" s="30" t="n">
        <v>0.57</v>
      </c>
      <c r="H59" s="7" t="n">
        <v>459</v>
      </c>
      <c r="I59" s="8" t="n">
        <v>92.8</v>
      </c>
      <c r="J59" s="8" t="n">
        <v>66</v>
      </c>
      <c r="K59" s="30" t="n">
        <v>1</v>
      </c>
      <c r="L59" s="33">
        <f>I59-E59</f>
        <v/>
      </c>
      <c r="M59" s="33">
        <f>J59-F59</f>
        <v/>
      </c>
    </row>
    <row r="60">
      <c r="A60" s="12" t="inlineStr">
        <is>
          <t>笠松</t>
        </is>
      </c>
      <c r="B60" s="12" t="inlineStr">
        <is>
          <t>佐賀</t>
        </is>
      </c>
      <c r="C60" s="31" t="inlineStr">
        <is>
          <t>＝ 同格</t>
        </is>
      </c>
      <c r="D60" s="7" t="n">
        <v>553</v>
      </c>
      <c r="E60" s="8" t="n">
        <v>39.8</v>
      </c>
      <c r="F60" s="8" t="n">
        <v>44.7</v>
      </c>
      <c r="G60" s="30" t="n">
        <v>0.77</v>
      </c>
      <c r="H60" s="7" t="n">
        <v>533</v>
      </c>
      <c r="I60" s="8" t="n">
        <v>59.3</v>
      </c>
      <c r="J60" s="8" t="n">
        <v>65</v>
      </c>
      <c r="K60" s="30" t="n">
        <v>0.9399999999999999</v>
      </c>
      <c r="L60" s="33">
        <f>I60-E60</f>
        <v/>
      </c>
      <c r="M60" s="33">
        <f>J60-F60</f>
        <v/>
      </c>
    </row>
    <row r="61">
      <c r="A61" s="12" t="inlineStr">
        <is>
          <t>川崎</t>
        </is>
      </c>
      <c r="B61" s="12" t="inlineStr">
        <is>
          <t>大井</t>
        </is>
      </c>
      <c r="C61" s="31" t="inlineStr">
        <is>
          <t>＝ 同格</t>
        </is>
      </c>
      <c r="D61" s="7" t="n">
        <v>207</v>
      </c>
      <c r="E61" s="8" t="n">
        <v>55.4</v>
      </c>
      <c r="F61" s="8" t="n">
        <v>41.9</v>
      </c>
      <c r="G61" s="30" t="n">
        <v>0.61</v>
      </c>
      <c r="H61" s="7" t="n">
        <v>196</v>
      </c>
      <c r="I61" s="8" t="n">
        <v>124.6</v>
      </c>
      <c r="J61" s="8" t="n">
        <v>63.6</v>
      </c>
      <c r="K61" s="30" t="n">
        <v>0.66</v>
      </c>
      <c r="L61" s="33">
        <f>I61-E61</f>
        <v/>
      </c>
      <c r="M61" s="33">
        <f>J61-F61</f>
        <v/>
      </c>
    </row>
    <row r="62">
      <c r="A62" s="12" t="inlineStr">
        <is>
          <t>兵庫</t>
        </is>
      </c>
      <c r="B62" s="12" t="inlineStr">
        <is>
          <t>高知</t>
        </is>
      </c>
      <c r="C62" s="31" t="inlineStr">
        <is>
          <t>＝ 同格</t>
        </is>
      </c>
      <c r="D62" s="7" t="n">
        <v>396</v>
      </c>
      <c r="E62" s="8" t="n">
        <v>22.2</v>
      </c>
      <c r="F62" s="8" t="n">
        <v>45.3</v>
      </c>
      <c r="G62" s="30" t="n">
        <v>0.75</v>
      </c>
      <c r="H62" s="7" t="n">
        <v>393</v>
      </c>
      <c r="I62" s="8" t="n">
        <v>76</v>
      </c>
      <c r="J62" s="8" t="n">
        <v>62.5</v>
      </c>
      <c r="K62" s="30" t="n">
        <v>0.9399999999999999</v>
      </c>
      <c r="L62" s="33">
        <f>I62-E62</f>
        <v/>
      </c>
      <c r="M62" s="33">
        <f>J62-F62</f>
        <v/>
      </c>
    </row>
    <row r="63">
      <c r="A63" s="12" t="inlineStr">
        <is>
          <t>川崎</t>
        </is>
      </c>
      <c r="B63" s="12" t="inlineStr">
        <is>
          <t>浦和</t>
        </is>
      </c>
      <c r="C63" s="31" t="inlineStr">
        <is>
          <t>＝ 同格</t>
        </is>
      </c>
      <c r="D63" s="7" t="n">
        <v>287</v>
      </c>
      <c r="E63" s="8" t="n">
        <v>37.1</v>
      </c>
      <c r="F63" s="8" t="n">
        <v>51.4</v>
      </c>
      <c r="G63" s="30" t="n">
        <v>0.6899999999999999</v>
      </c>
      <c r="H63" s="7" t="n">
        <v>282</v>
      </c>
      <c r="I63" s="8" t="n">
        <v>111.1</v>
      </c>
      <c r="J63" s="8" t="n">
        <v>62</v>
      </c>
      <c r="K63" s="30" t="n">
        <v>0.91</v>
      </c>
      <c r="L63" s="33">
        <f>I63-E63</f>
        <v/>
      </c>
      <c r="M63" s="33">
        <f>J63-F63</f>
        <v/>
      </c>
    </row>
    <row r="64">
      <c r="A64" s="12" t="inlineStr">
        <is>
          <t>船橋</t>
        </is>
      </c>
      <c r="B64" s="12" t="inlineStr">
        <is>
          <t>川崎</t>
        </is>
      </c>
      <c r="C64" s="31" t="inlineStr">
        <is>
          <t>＝ 同格</t>
        </is>
      </c>
      <c r="D64" s="7" t="n">
        <v>211</v>
      </c>
      <c r="E64" s="8" t="n">
        <v>14.7</v>
      </c>
      <c r="F64" s="8" t="n">
        <v>59.6</v>
      </c>
      <c r="G64" s="30" t="n">
        <v>0.87</v>
      </c>
      <c r="H64" s="7" t="n">
        <v>198</v>
      </c>
      <c r="I64" s="8" t="n">
        <v>29.6</v>
      </c>
      <c r="J64" s="8" t="n">
        <v>61.2</v>
      </c>
      <c r="K64" s="30" t="n">
        <v>0.9</v>
      </c>
      <c r="L64" s="33">
        <f>I64-E64</f>
        <v/>
      </c>
      <c r="M64" s="33">
        <f>J64-F64</f>
        <v/>
      </c>
    </row>
    <row r="65">
      <c r="A65" s="12" t="inlineStr">
        <is>
          <t>佐賀</t>
        </is>
      </c>
      <c r="B65" s="12" t="inlineStr">
        <is>
          <t>金沢</t>
        </is>
      </c>
      <c r="C65" s="31" t="inlineStr">
        <is>
          <t>＝ 同格</t>
        </is>
      </c>
      <c r="D65" s="7" t="n">
        <v>157</v>
      </c>
      <c r="E65" s="8" t="n">
        <v>29.5</v>
      </c>
      <c r="F65" s="8" t="n">
        <v>28</v>
      </c>
      <c r="G65" s="30" t="n">
        <v>0.62</v>
      </c>
      <c r="H65" s="7" t="n">
        <v>150</v>
      </c>
      <c r="I65" s="8" t="n">
        <v>138.4</v>
      </c>
      <c r="J65" s="8" t="n">
        <v>60.2</v>
      </c>
      <c r="K65" s="30" t="n">
        <v>0.96</v>
      </c>
      <c r="L65" s="33">
        <f>I65-E65</f>
        <v/>
      </c>
      <c r="M65" s="33">
        <f>J65-F65</f>
        <v/>
      </c>
    </row>
    <row r="66">
      <c r="A66" s="12" t="inlineStr">
        <is>
          <t>岩手</t>
        </is>
      </c>
      <c r="B66" s="12" t="inlineStr">
        <is>
          <t>愛知</t>
        </is>
      </c>
      <c r="C66" s="31" t="inlineStr">
        <is>
          <t>＝ 同格</t>
        </is>
      </c>
      <c r="D66" s="7" t="n">
        <v>299</v>
      </c>
      <c r="E66" s="8" t="n">
        <v>69.8</v>
      </c>
      <c r="F66" s="8" t="n">
        <v>57.1</v>
      </c>
      <c r="G66" s="30" t="n">
        <v>0.97</v>
      </c>
      <c r="H66" s="7" t="n">
        <v>289</v>
      </c>
      <c r="I66" s="8" t="n">
        <v>46.1</v>
      </c>
      <c r="J66" s="8" t="n">
        <v>56.8</v>
      </c>
      <c r="K66" s="30" t="n">
        <v>1.01</v>
      </c>
      <c r="L66" s="33">
        <f>I66-E66</f>
        <v/>
      </c>
      <c r="M66" s="33">
        <f>J66-F66</f>
        <v/>
      </c>
    </row>
    <row r="67">
      <c r="A67" s="12" t="inlineStr">
        <is>
          <t>金沢</t>
        </is>
      </c>
      <c r="B67" s="12" t="inlineStr">
        <is>
          <t>佐賀</t>
        </is>
      </c>
      <c r="C67" s="31" t="inlineStr">
        <is>
          <t>＝ 同格</t>
        </is>
      </c>
      <c r="D67" s="7" t="n">
        <v>430</v>
      </c>
      <c r="E67" s="8" t="n">
        <v>30.8</v>
      </c>
      <c r="F67" s="8" t="n">
        <v>51.4</v>
      </c>
      <c r="G67" s="30" t="n">
        <v>0.85</v>
      </c>
      <c r="H67" s="7" t="n">
        <v>418</v>
      </c>
      <c r="I67" s="8" t="n">
        <v>42.1</v>
      </c>
      <c r="J67" s="8" t="n">
        <v>52.6</v>
      </c>
      <c r="K67" s="30" t="n">
        <v>0.88</v>
      </c>
      <c r="L67" s="33">
        <f>I67-E67</f>
        <v/>
      </c>
      <c r="M67" s="33">
        <f>J67-F67</f>
        <v/>
      </c>
    </row>
    <row r="68">
      <c r="A68" s="12" t="inlineStr">
        <is>
          <t>浦和</t>
        </is>
      </c>
      <c r="B68" s="12" t="inlineStr">
        <is>
          <t>船橋</t>
        </is>
      </c>
      <c r="C68" s="31" t="inlineStr">
        <is>
          <t>＝ 同格</t>
        </is>
      </c>
      <c r="D68" s="7" t="n">
        <v>258</v>
      </c>
      <c r="E68" s="8" t="n">
        <v>14.2</v>
      </c>
      <c r="F68" s="8" t="n">
        <v>42.6</v>
      </c>
      <c r="G68" s="30" t="n">
        <v>0.76</v>
      </c>
      <c r="H68" s="7" t="n">
        <v>255</v>
      </c>
      <c r="I68" s="8" t="n">
        <v>68.2</v>
      </c>
      <c r="J68" s="8" t="n">
        <v>49.7</v>
      </c>
      <c r="K68" s="30" t="n">
        <v>0.9</v>
      </c>
      <c r="L68" s="33">
        <f>I68-E68</f>
        <v/>
      </c>
      <c r="M68" s="33">
        <f>J68-F68</f>
        <v/>
      </c>
    </row>
    <row r="69">
      <c r="A69" s="12" t="inlineStr">
        <is>
          <t>高知</t>
        </is>
      </c>
      <c r="B69" s="12" t="inlineStr">
        <is>
          <t>兵庫</t>
        </is>
      </c>
      <c r="C69" s="31" t="inlineStr">
        <is>
          <t>＝ 同格</t>
        </is>
      </c>
      <c r="D69" s="7" t="n">
        <v>487</v>
      </c>
      <c r="E69" s="8" t="n">
        <v>25.2</v>
      </c>
      <c r="F69" s="8" t="n">
        <v>43.3</v>
      </c>
      <c r="G69" s="30" t="n">
        <v>0.77</v>
      </c>
      <c r="H69" s="7" t="n">
        <v>466</v>
      </c>
      <c r="I69" s="8" t="n">
        <v>57.9</v>
      </c>
      <c r="J69" s="8" t="n">
        <v>49.5</v>
      </c>
      <c r="K69" s="30" t="n">
        <v>0.79</v>
      </c>
      <c r="L69" s="33">
        <f>I69-E69</f>
        <v/>
      </c>
      <c r="M69" s="33">
        <f>J69-F69</f>
        <v/>
      </c>
    </row>
    <row r="70">
      <c r="A70" s="12" t="inlineStr">
        <is>
          <t>浦和</t>
        </is>
      </c>
      <c r="B70" s="12" t="inlineStr">
        <is>
          <t>川崎</t>
        </is>
      </c>
      <c r="C70" s="31" t="inlineStr">
        <is>
          <t>＝ 同格</t>
        </is>
      </c>
      <c r="D70" s="7" t="n">
        <v>209</v>
      </c>
      <c r="E70" s="8" t="n">
        <v>100.3</v>
      </c>
      <c r="F70" s="8" t="n">
        <v>47</v>
      </c>
      <c r="G70" s="30" t="n">
        <v>0.83</v>
      </c>
      <c r="H70" s="7" t="n">
        <v>198</v>
      </c>
      <c r="I70" s="8" t="n">
        <v>52.2</v>
      </c>
      <c r="J70" s="8" t="n">
        <v>48.6</v>
      </c>
      <c r="K70" s="30" t="n">
        <v>0.71</v>
      </c>
      <c r="L70" s="33">
        <f>I70-E70</f>
        <v/>
      </c>
      <c r="M70" s="33">
        <f>J70-F70</f>
        <v/>
      </c>
    </row>
    <row r="71">
      <c r="A71" s="12" t="inlineStr">
        <is>
          <t>船橋</t>
        </is>
      </c>
      <c r="B71" s="12" t="inlineStr">
        <is>
          <t>大井</t>
        </is>
      </c>
      <c r="C71" s="31" t="inlineStr">
        <is>
          <t>＝ 同格</t>
        </is>
      </c>
      <c r="D71" s="7" t="n">
        <v>210</v>
      </c>
      <c r="E71" s="8" t="n">
        <v>27.2</v>
      </c>
      <c r="F71" s="8" t="n">
        <v>38.8</v>
      </c>
      <c r="G71" s="30" t="n">
        <v>0.57</v>
      </c>
      <c r="H71" s="7" t="n">
        <v>204</v>
      </c>
      <c r="I71" s="8" t="n">
        <v>34.9</v>
      </c>
      <c r="J71" s="8" t="n">
        <v>37.5</v>
      </c>
      <c r="K71" s="30" t="n">
        <v>0.71</v>
      </c>
      <c r="L71" s="33">
        <f>I71-E71</f>
        <v/>
      </c>
      <c r="M71" s="33">
        <f>J71-F71</f>
        <v/>
      </c>
    </row>
    <row r="72">
      <c r="A72" s="12" t="inlineStr">
        <is>
          <t>岩手</t>
        </is>
      </c>
      <c r="B72" s="12" t="inlineStr">
        <is>
          <t>北海道</t>
        </is>
      </c>
      <c r="C72" s="31" t="inlineStr">
        <is>
          <t>＝ 同格</t>
        </is>
      </c>
      <c r="D72" s="7" t="n">
        <v>320</v>
      </c>
      <c r="E72" s="8" t="n">
        <v>51.4</v>
      </c>
      <c r="F72" s="8" t="n">
        <v>52</v>
      </c>
      <c r="G72" s="30" t="n">
        <v>0.73</v>
      </c>
      <c r="H72" s="7" t="n">
        <v>320</v>
      </c>
      <c r="I72" s="8" t="n">
        <v>76.2</v>
      </c>
      <c r="J72" s="8" t="n">
        <v>32.3</v>
      </c>
      <c r="K72" s="30" t="n">
        <v>0.78</v>
      </c>
      <c r="L72" s="33">
        <f>I72-E72</f>
        <v/>
      </c>
      <c r="M72" s="33">
        <f>J72-F72</f>
        <v/>
      </c>
    </row>
    <row r="73">
      <c r="A73" s="12" t="inlineStr">
        <is>
          <t>浦和</t>
        </is>
      </c>
      <c r="B73" s="12" t="inlineStr">
        <is>
          <t>大井</t>
        </is>
      </c>
      <c r="C73" s="31" t="inlineStr">
        <is>
          <t>＝ 同格</t>
        </is>
      </c>
      <c r="D73" s="7" t="n">
        <v>149</v>
      </c>
      <c r="E73" s="8" t="n">
        <v>54.9</v>
      </c>
      <c r="F73" s="8" t="n">
        <v>42.4</v>
      </c>
      <c r="G73" s="30" t="n">
        <v>0.8100000000000001</v>
      </c>
      <c r="H73" s="7" t="n">
        <v>157</v>
      </c>
      <c r="I73" s="8" t="n">
        <v>3.1</v>
      </c>
      <c r="J73" s="8" t="n">
        <v>20.1</v>
      </c>
      <c r="K73" s="30" t="n">
        <v>0.53</v>
      </c>
      <c r="L73" s="33">
        <f>I73-E73</f>
        <v/>
      </c>
      <c r="M73" s="33">
        <f>J73-F73</f>
        <v/>
      </c>
    </row>
    <row r="74">
      <c r="A74" s="12" t="inlineStr">
        <is>
          <t>岩手</t>
        </is>
      </c>
      <c r="B74" s="12" t="inlineStr">
        <is>
          <t>金沢</t>
        </is>
      </c>
      <c r="C74" s="32" t="inlineStr">
        <is>
          <t>↓ 格下へ</t>
        </is>
      </c>
      <c r="D74" s="7" t="n">
        <v>154</v>
      </c>
      <c r="E74" s="8" t="n">
        <v>7.1</v>
      </c>
      <c r="F74" s="8" t="n">
        <v>39.9</v>
      </c>
      <c r="G74" s="30" t="n">
        <v>0.61</v>
      </c>
      <c r="H74" s="7" t="n">
        <v>148</v>
      </c>
      <c r="I74" s="8" t="n">
        <v>129.3</v>
      </c>
      <c r="J74" s="8" t="n">
        <v>108.9</v>
      </c>
      <c r="K74" s="30" t="n">
        <v>1.05</v>
      </c>
      <c r="L74" s="33">
        <f>I74-E74</f>
        <v/>
      </c>
      <c r="M74" s="33">
        <f>J74-F74</f>
        <v/>
      </c>
    </row>
    <row r="75">
      <c r="A75" s="12" t="inlineStr">
        <is>
          <t>高知</t>
        </is>
      </c>
      <c r="B75" s="12" t="inlineStr">
        <is>
          <t>岩手</t>
        </is>
      </c>
      <c r="C75" s="32" t="inlineStr">
        <is>
          <t>↓ 格下へ</t>
        </is>
      </c>
      <c r="D75" s="7" t="n">
        <v>323</v>
      </c>
      <c r="E75" s="8" t="n">
        <v>13.5</v>
      </c>
      <c r="F75" s="8" t="n">
        <v>48.2</v>
      </c>
      <c r="G75" s="30" t="n">
        <v>0.65</v>
      </c>
      <c r="H75" s="7" t="n">
        <v>304</v>
      </c>
      <c r="I75" s="8" t="n">
        <v>84.09999999999999</v>
      </c>
      <c r="J75" s="8" t="n">
        <v>98.2</v>
      </c>
      <c r="K75" s="30" t="n">
        <v>1.16</v>
      </c>
      <c r="L75" s="33">
        <f>I75-E75</f>
        <v/>
      </c>
      <c r="M75" s="33">
        <f>J75-F75</f>
        <v/>
      </c>
    </row>
    <row r="76">
      <c r="A76" s="12" t="inlineStr">
        <is>
          <t>北海道</t>
        </is>
      </c>
      <c r="B76" s="12" t="inlineStr">
        <is>
          <t>佐賀</t>
        </is>
      </c>
      <c r="C76" s="32" t="inlineStr">
        <is>
          <t>↓ 格下へ</t>
        </is>
      </c>
      <c r="D76" s="7" t="n">
        <v>710</v>
      </c>
      <c r="E76" s="8" t="n">
        <v>61.2</v>
      </c>
      <c r="F76" s="8" t="n">
        <v>45.5</v>
      </c>
      <c r="G76" s="30" t="n">
        <v>0.8</v>
      </c>
      <c r="H76" s="7" t="n">
        <v>698</v>
      </c>
      <c r="I76" s="8" t="n">
        <v>79.40000000000001</v>
      </c>
      <c r="J76" s="8" t="n">
        <v>91.7</v>
      </c>
      <c r="K76" s="30" t="n">
        <v>1.1</v>
      </c>
      <c r="L76" s="33">
        <f>I76-E76</f>
        <v/>
      </c>
      <c r="M76" s="33">
        <f>J76-F76</f>
        <v/>
      </c>
    </row>
    <row r="77">
      <c r="A77" s="12" t="inlineStr">
        <is>
          <t>兵庫</t>
        </is>
      </c>
      <c r="B77" s="12" t="inlineStr">
        <is>
          <t>北海道</t>
        </is>
      </c>
      <c r="C77" s="32" t="inlineStr">
        <is>
          <t>↓ 格下へ</t>
        </is>
      </c>
      <c r="D77" s="7" t="n">
        <v>329</v>
      </c>
      <c r="E77" s="8" t="n">
        <v>38</v>
      </c>
      <c r="F77" s="8" t="n">
        <v>44</v>
      </c>
      <c r="G77" s="30" t="n">
        <v>0.88</v>
      </c>
      <c r="H77" s="7" t="n">
        <v>342</v>
      </c>
      <c r="I77" s="8" t="n">
        <v>42</v>
      </c>
      <c r="J77" s="8" t="n">
        <v>80</v>
      </c>
      <c r="K77" s="30" t="n">
        <v>1.06</v>
      </c>
      <c r="L77" s="33">
        <f>I77-E77</f>
        <v/>
      </c>
      <c r="M77" s="33">
        <f>J77-F77</f>
        <v/>
      </c>
    </row>
    <row r="78">
      <c r="A78" s="12" t="inlineStr">
        <is>
          <t>北海道</t>
        </is>
      </c>
      <c r="B78" s="12" t="inlineStr">
        <is>
          <t>笠松</t>
        </is>
      </c>
      <c r="C78" s="32" t="inlineStr">
        <is>
          <t>↓ 格下へ</t>
        </is>
      </c>
      <c r="D78" s="7" t="n">
        <v>588</v>
      </c>
      <c r="E78" s="8" t="n">
        <v>53.1</v>
      </c>
      <c r="F78" s="8" t="n">
        <v>50.2</v>
      </c>
      <c r="G78" s="30" t="n">
        <v>0.85</v>
      </c>
      <c r="H78" s="7" t="n">
        <v>564</v>
      </c>
      <c r="I78" s="8" t="n">
        <v>64.8</v>
      </c>
      <c r="J78" s="8" t="n">
        <v>78.2</v>
      </c>
      <c r="K78" s="30" t="n">
        <v>1.05</v>
      </c>
      <c r="L78" s="33">
        <f>I78-E78</f>
        <v/>
      </c>
      <c r="M78" s="33">
        <f>J78-F78</f>
        <v/>
      </c>
    </row>
    <row r="79">
      <c r="A79" s="12" t="inlineStr">
        <is>
          <t>北海道</t>
        </is>
      </c>
      <c r="B79" s="12" t="inlineStr">
        <is>
          <t>金沢</t>
        </is>
      </c>
      <c r="C79" s="32" t="inlineStr">
        <is>
          <t>↓ 格下へ</t>
        </is>
      </c>
      <c r="D79" s="7" t="n">
        <v>352</v>
      </c>
      <c r="E79" s="8" t="n">
        <v>28.3</v>
      </c>
      <c r="F79" s="8" t="n">
        <v>29.4</v>
      </c>
      <c r="G79" s="30" t="n">
        <v>0.62</v>
      </c>
      <c r="H79" s="7" t="n">
        <v>322</v>
      </c>
      <c r="I79" s="8" t="n">
        <v>69.2</v>
      </c>
      <c r="J79" s="8" t="n">
        <v>77.3</v>
      </c>
      <c r="K79" s="30" t="n">
        <v>1.06</v>
      </c>
      <c r="L79" s="33">
        <f>I79-E79</f>
        <v/>
      </c>
      <c r="M79" s="33">
        <f>J79-F79</f>
        <v/>
      </c>
    </row>
    <row r="80">
      <c r="A80" s="12" t="inlineStr">
        <is>
          <t>兵庫</t>
        </is>
      </c>
      <c r="B80" s="12" t="inlineStr">
        <is>
          <t>愛知</t>
        </is>
      </c>
      <c r="C80" s="32" t="inlineStr">
        <is>
          <t>↓ 格下へ</t>
        </is>
      </c>
      <c r="D80" s="7" t="n">
        <v>596</v>
      </c>
      <c r="E80" s="8" t="n">
        <v>54.3</v>
      </c>
      <c r="F80" s="8" t="n">
        <v>44.6</v>
      </c>
      <c r="G80" s="30" t="n">
        <v>0.7</v>
      </c>
      <c r="H80" s="7" t="n">
        <v>598</v>
      </c>
      <c r="I80" s="8" t="n">
        <v>82.90000000000001</v>
      </c>
      <c r="J80" s="8" t="n">
        <v>77.2</v>
      </c>
      <c r="K80" s="30" t="n">
        <v>0.97</v>
      </c>
      <c r="L80" s="33">
        <f>I80-E80</f>
        <v/>
      </c>
      <c r="M80" s="33">
        <f>J80-F80</f>
        <v/>
      </c>
    </row>
    <row r="81">
      <c r="A81" s="12" t="inlineStr">
        <is>
          <t>愛知</t>
        </is>
      </c>
      <c r="B81" s="12" t="inlineStr">
        <is>
          <t>笠松</t>
        </is>
      </c>
      <c r="C81" s="32" t="inlineStr">
        <is>
          <t>↓ 格下へ</t>
        </is>
      </c>
      <c r="D81" s="7" t="n">
        <v>484</v>
      </c>
      <c r="E81" s="8" t="n">
        <v>23.8</v>
      </c>
      <c r="F81" s="8" t="n">
        <v>33.7</v>
      </c>
      <c r="G81" s="30" t="n">
        <v>0.61</v>
      </c>
      <c r="H81" s="7" t="n">
        <v>467</v>
      </c>
      <c r="I81" s="8" t="n">
        <v>69.3</v>
      </c>
      <c r="J81" s="8" t="n">
        <v>76.90000000000001</v>
      </c>
      <c r="K81" s="30" t="n">
        <v>1.01</v>
      </c>
      <c r="L81" s="33">
        <f>I81-E81</f>
        <v/>
      </c>
      <c r="M81" s="33">
        <f>J81-F81</f>
        <v/>
      </c>
    </row>
    <row r="82">
      <c r="A82" s="12" t="inlineStr">
        <is>
          <t>愛知</t>
        </is>
      </c>
      <c r="B82" s="12" t="inlineStr">
        <is>
          <t>佐賀</t>
        </is>
      </c>
      <c r="C82" s="32" t="inlineStr">
        <is>
          <t>↓ 格下へ</t>
        </is>
      </c>
      <c r="D82" s="7" t="n">
        <v>819</v>
      </c>
      <c r="E82" s="8" t="n">
        <v>69</v>
      </c>
      <c r="F82" s="8" t="n">
        <v>46.4</v>
      </c>
      <c r="G82" s="30" t="n">
        <v>0.76</v>
      </c>
      <c r="H82" s="7" t="n">
        <v>796</v>
      </c>
      <c r="I82" s="8" t="n">
        <v>112</v>
      </c>
      <c r="J82" s="8" t="n">
        <v>75.3</v>
      </c>
      <c r="K82" s="30" t="n">
        <v>1.04</v>
      </c>
      <c r="L82" s="33">
        <f>I82-E82</f>
        <v/>
      </c>
      <c r="M82" s="33">
        <f>J82-F82</f>
        <v/>
      </c>
    </row>
    <row r="83">
      <c r="A83" s="12" t="inlineStr">
        <is>
          <t>大井</t>
        </is>
      </c>
      <c r="B83" s="12" t="inlineStr">
        <is>
          <t>高知</t>
        </is>
      </c>
      <c r="C83" s="32" t="inlineStr">
        <is>
          <t>↓ 格下へ</t>
        </is>
      </c>
      <c r="D83" s="7" t="n">
        <v>406</v>
      </c>
      <c r="E83" s="8" t="n">
        <v>7.3</v>
      </c>
      <c r="F83" s="8" t="n">
        <v>28</v>
      </c>
      <c r="G83" s="30" t="n">
        <v>0.5600000000000001</v>
      </c>
      <c r="H83" s="7" t="n">
        <v>395</v>
      </c>
      <c r="I83" s="8" t="n">
        <v>54.5</v>
      </c>
      <c r="J83" s="8" t="n">
        <v>75.2</v>
      </c>
      <c r="K83" s="30" t="n">
        <v>0.99</v>
      </c>
      <c r="L83" s="33">
        <f>I83-E83</f>
        <v/>
      </c>
      <c r="M83" s="33">
        <f>J83-F83</f>
        <v/>
      </c>
    </row>
    <row r="84">
      <c r="A84" s="12" t="inlineStr">
        <is>
          <t>高知</t>
        </is>
      </c>
      <c r="B84" s="12" t="inlineStr">
        <is>
          <t>北海道</t>
        </is>
      </c>
      <c r="C84" s="32" t="inlineStr">
        <is>
          <t>↓ 格下へ</t>
        </is>
      </c>
      <c r="D84" s="7" t="n">
        <v>184</v>
      </c>
      <c r="E84" s="8" t="n">
        <v>47</v>
      </c>
      <c r="F84" s="8" t="n">
        <v>56.7</v>
      </c>
      <c r="G84" s="30" t="n">
        <v>0.8100000000000001</v>
      </c>
      <c r="H84" s="7" t="n">
        <v>183</v>
      </c>
      <c r="I84" s="8" t="n">
        <v>154.5</v>
      </c>
      <c r="J84" s="8" t="n">
        <v>73.5</v>
      </c>
      <c r="K84" s="30" t="n">
        <v>0.98</v>
      </c>
      <c r="L84" s="33">
        <f>I84-E84</f>
        <v/>
      </c>
      <c r="M84" s="33">
        <f>J84-F84</f>
        <v/>
      </c>
    </row>
    <row r="85">
      <c r="A85" s="12" t="inlineStr">
        <is>
          <t>岩手</t>
        </is>
      </c>
      <c r="B85" s="12" t="inlineStr">
        <is>
          <t>笠松</t>
        </is>
      </c>
      <c r="C85" s="32" t="inlineStr">
        <is>
          <t>↓ 格下へ</t>
        </is>
      </c>
      <c r="D85" s="7" t="n">
        <v>206</v>
      </c>
      <c r="E85" s="8" t="n">
        <v>53.5</v>
      </c>
      <c r="F85" s="8" t="n">
        <v>55.2</v>
      </c>
      <c r="G85" s="30" t="n">
        <v>0.84</v>
      </c>
      <c r="H85" s="7" t="n">
        <v>214</v>
      </c>
      <c r="I85" s="8" t="n">
        <v>105.7</v>
      </c>
      <c r="J85" s="8" t="n">
        <v>71.90000000000001</v>
      </c>
      <c r="K85" s="30" t="n">
        <v>1.13</v>
      </c>
      <c r="L85" s="33">
        <f>I85-E85</f>
        <v/>
      </c>
      <c r="M85" s="33">
        <f>J85-F85</f>
        <v/>
      </c>
    </row>
    <row r="86">
      <c r="A86" s="12" t="inlineStr">
        <is>
          <t>船橋</t>
        </is>
      </c>
      <c r="B86" s="12" t="inlineStr">
        <is>
          <t>高知</t>
        </is>
      </c>
      <c r="C86" s="32" t="inlineStr">
        <is>
          <t>↓ 格下へ</t>
        </is>
      </c>
      <c r="D86" s="7" t="n">
        <v>298</v>
      </c>
      <c r="E86" s="8" t="n">
        <v>23</v>
      </c>
      <c r="F86" s="8" t="n">
        <v>28.8</v>
      </c>
      <c r="G86" s="30" t="n">
        <v>0.53</v>
      </c>
      <c r="H86" s="7" t="n">
        <v>294</v>
      </c>
      <c r="I86" s="8" t="n">
        <v>48</v>
      </c>
      <c r="J86" s="8" t="n">
        <v>71.3</v>
      </c>
      <c r="K86" s="30" t="n">
        <v>0.98</v>
      </c>
      <c r="L86" s="33">
        <f>I86-E86</f>
        <v/>
      </c>
      <c r="M86" s="33">
        <f>J86-F86</f>
        <v/>
      </c>
    </row>
    <row r="87">
      <c r="A87" s="12" t="inlineStr">
        <is>
          <t>川崎</t>
        </is>
      </c>
      <c r="B87" s="12" t="inlineStr">
        <is>
          <t>高知</t>
        </is>
      </c>
      <c r="C87" s="32" t="inlineStr">
        <is>
          <t>↓ 格下へ</t>
        </is>
      </c>
      <c r="D87" s="7" t="n">
        <v>206</v>
      </c>
      <c r="E87" s="8" t="n">
        <v>24.1</v>
      </c>
      <c r="F87" s="8" t="n">
        <v>22</v>
      </c>
      <c r="G87" s="30" t="n">
        <v>0.47</v>
      </c>
      <c r="H87" s="7" t="n">
        <v>199</v>
      </c>
      <c r="I87" s="8" t="n">
        <v>45</v>
      </c>
      <c r="J87" s="8" t="n">
        <v>69.40000000000001</v>
      </c>
      <c r="K87" s="30" t="n">
        <v>0.97</v>
      </c>
      <c r="L87" s="33">
        <f>I87-E87</f>
        <v/>
      </c>
      <c r="M87" s="33">
        <f>J87-F87</f>
        <v/>
      </c>
    </row>
    <row r="88">
      <c r="A88" s="12" t="inlineStr">
        <is>
          <t>浦和</t>
        </is>
      </c>
      <c r="B88" s="12" t="inlineStr">
        <is>
          <t>高知</t>
        </is>
      </c>
      <c r="C88" s="32" t="inlineStr">
        <is>
          <t>↓ 格下へ</t>
        </is>
      </c>
      <c r="D88" s="7" t="n">
        <v>134</v>
      </c>
      <c r="E88" s="8" t="n">
        <v>9</v>
      </c>
      <c r="F88" s="8" t="n">
        <v>40.4</v>
      </c>
      <c r="G88" s="30" t="n">
        <v>0.49</v>
      </c>
      <c r="H88" s="7" t="n">
        <v>132</v>
      </c>
      <c r="I88" s="8" t="n">
        <v>41.5</v>
      </c>
      <c r="J88" s="8" t="n">
        <v>66.7</v>
      </c>
      <c r="K88" s="30" t="n">
        <v>0.86</v>
      </c>
      <c r="L88" s="33">
        <f>I88-E88</f>
        <v/>
      </c>
      <c r="M88" s="33">
        <f>J88-F88</f>
        <v/>
      </c>
    </row>
    <row r="89">
      <c r="A89" s="12" t="inlineStr">
        <is>
          <t>岩手</t>
        </is>
      </c>
      <c r="B89" s="12" t="inlineStr">
        <is>
          <t>佐賀</t>
        </is>
      </c>
      <c r="C89" s="32" t="inlineStr">
        <is>
          <t>↓ 格下へ</t>
        </is>
      </c>
      <c r="D89" s="7" t="n">
        <v>301</v>
      </c>
      <c r="E89" s="8" t="n">
        <v>35.5</v>
      </c>
      <c r="F89" s="8" t="n">
        <v>54.9</v>
      </c>
      <c r="G89" s="30" t="n">
        <v>0.75</v>
      </c>
      <c r="H89" s="7" t="n">
        <v>308</v>
      </c>
      <c r="I89" s="8" t="n">
        <v>63.8</v>
      </c>
      <c r="J89" s="8" t="n">
        <v>65.2</v>
      </c>
      <c r="K89" s="30" t="n">
        <v>0.88</v>
      </c>
      <c r="L89" s="33">
        <f>I89-E89</f>
        <v/>
      </c>
      <c r="M89" s="33">
        <f>J89-F89</f>
        <v/>
      </c>
    </row>
    <row r="90">
      <c r="A90" s="12" t="inlineStr">
        <is>
          <t>愛知</t>
        </is>
      </c>
      <c r="B90" s="12" t="inlineStr">
        <is>
          <t>金沢</t>
        </is>
      </c>
      <c r="C90" s="32" t="inlineStr">
        <is>
          <t>↓ 格下へ</t>
        </is>
      </c>
      <c r="D90" s="7" t="n">
        <v>559</v>
      </c>
      <c r="E90" s="8" t="n">
        <v>24.8</v>
      </c>
      <c r="F90" s="8" t="n">
        <v>31.6</v>
      </c>
      <c r="G90" s="30" t="n">
        <v>0.58</v>
      </c>
      <c r="H90" s="7" t="n">
        <v>542</v>
      </c>
      <c r="I90" s="8" t="n">
        <v>58.1</v>
      </c>
      <c r="J90" s="8" t="n">
        <v>60.4</v>
      </c>
      <c r="K90" s="30" t="n">
        <v>0.95</v>
      </c>
      <c r="L90" s="33">
        <f>I90-E90</f>
        <v/>
      </c>
      <c r="M90" s="33">
        <f>J90-F90</f>
        <v/>
      </c>
    </row>
    <row r="91">
      <c r="A91" s="12" t="inlineStr">
        <is>
          <t>兵庫</t>
        </is>
      </c>
      <c r="B91" s="12" t="inlineStr">
        <is>
          <t>岩手</t>
        </is>
      </c>
      <c r="C91" s="32" t="inlineStr">
        <is>
          <t>↓ 格下へ</t>
        </is>
      </c>
      <c r="D91" s="7" t="n">
        <v>478</v>
      </c>
      <c r="E91" s="8" t="n">
        <v>30.6</v>
      </c>
      <c r="F91" s="8" t="n">
        <v>31.7</v>
      </c>
      <c r="G91" s="30" t="n">
        <v>0.67</v>
      </c>
      <c r="H91" s="7" t="n">
        <v>444</v>
      </c>
      <c r="I91" s="8" t="n">
        <v>64.3</v>
      </c>
      <c r="J91" s="8" t="n">
        <v>58</v>
      </c>
      <c r="K91" s="30" t="n">
        <v>0.93</v>
      </c>
      <c r="L91" s="33">
        <f>I91-E91</f>
        <v/>
      </c>
      <c r="M91" s="33">
        <f>J91-F91</f>
        <v/>
      </c>
    </row>
    <row r="92">
      <c r="A92" s="12" t="inlineStr">
        <is>
          <t>船橋</t>
        </is>
      </c>
      <c r="B92" s="12" t="inlineStr">
        <is>
          <t>兵庫</t>
        </is>
      </c>
      <c r="C92" s="32" t="inlineStr">
        <is>
          <t>↓ 格下へ</t>
        </is>
      </c>
      <c r="D92" s="7" t="n">
        <v>153</v>
      </c>
      <c r="E92" s="8" t="n">
        <v>26.2</v>
      </c>
      <c r="F92" s="8" t="n">
        <v>40.1</v>
      </c>
      <c r="G92" s="30" t="n">
        <v>0.53</v>
      </c>
      <c r="H92" s="7" t="n">
        <v>151</v>
      </c>
      <c r="I92" s="8" t="n">
        <v>132.3</v>
      </c>
      <c r="J92" s="8" t="n">
        <v>55.4</v>
      </c>
      <c r="K92" s="30" t="n">
        <v>0.61</v>
      </c>
      <c r="L92" s="33">
        <f>I92-E92</f>
        <v/>
      </c>
      <c r="M92" s="33">
        <f>J92-F92</f>
        <v/>
      </c>
    </row>
    <row r="93">
      <c r="A93" s="12" t="inlineStr">
        <is>
          <t>高知</t>
        </is>
      </c>
      <c r="B93" s="12" t="inlineStr">
        <is>
          <t>愛知</t>
        </is>
      </c>
      <c r="C93" s="32" t="inlineStr">
        <is>
          <t>↓ 格下へ</t>
        </is>
      </c>
      <c r="D93" s="7" t="n">
        <v>279</v>
      </c>
      <c r="E93" s="8" t="n">
        <v>41.3</v>
      </c>
      <c r="F93" s="8" t="n">
        <v>39.8</v>
      </c>
      <c r="G93" s="30" t="n">
        <v>0.61</v>
      </c>
      <c r="H93" s="7" t="n">
        <v>273</v>
      </c>
      <c r="I93" s="8" t="n">
        <v>62.4</v>
      </c>
      <c r="J93" s="8" t="n">
        <v>50</v>
      </c>
      <c r="K93" s="30" t="n">
        <v>0.8</v>
      </c>
      <c r="L93" s="33">
        <f>I93-E93</f>
        <v/>
      </c>
      <c r="M93" s="33">
        <f>J93-F93</f>
        <v/>
      </c>
    </row>
    <row r="94">
      <c r="A94" s="12" t="inlineStr">
        <is>
          <t>大井</t>
        </is>
      </c>
      <c r="B94" s="12" t="inlineStr">
        <is>
          <t>兵庫</t>
        </is>
      </c>
      <c r="C94" s="32" t="inlineStr">
        <is>
          <t>↓ 格下へ</t>
        </is>
      </c>
      <c r="D94" s="7" t="n">
        <v>265</v>
      </c>
      <c r="E94" s="8" t="n">
        <v>22.2</v>
      </c>
      <c r="F94" s="8" t="n">
        <v>44.2</v>
      </c>
      <c r="G94" s="30" t="n">
        <v>0.65</v>
      </c>
      <c r="H94" s="7" t="n">
        <v>262</v>
      </c>
      <c r="I94" s="8" t="n">
        <v>40.1</v>
      </c>
      <c r="J94" s="8" t="n">
        <v>48.6</v>
      </c>
      <c r="K94" s="30" t="n">
        <v>0.86</v>
      </c>
      <c r="L94" s="33">
        <f>I94-E94</f>
        <v/>
      </c>
      <c r="M94" s="33">
        <f>J94-F94</f>
        <v/>
      </c>
    </row>
    <row r="95">
      <c r="A95" s="12" t="inlineStr">
        <is>
          <t>川崎</t>
        </is>
      </c>
      <c r="B95" s="12" t="inlineStr">
        <is>
          <t>兵庫</t>
        </is>
      </c>
      <c r="C95" s="32" t="inlineStr">
        <is>
          <t>↓ 格下へ</t>
        </is>
      </c>
      <c r="D95" s="7" t="n">
        <v>184</v>
      </c>
      <c r="E95" s="8" t="n">
        <v>9.1</v>
      </c>
      <c r="F95" s="8" t="n">
        <v>15.8</v>
      </c>
      <c r="G95" s="30" t="n">
        <v>0.26</v>
      </c>
      <c r="H95" s="7" t="n">
        <v>185</v>
      </c>
      <c r="I95" s="8" t="n">
        <v>37.1</v>
      </c>
      <c r="J95" s="8" t="n">
        <v>45.1</v>
      </c>
      <c r="K95" s="30" t="n">
        <v>0.73</v>
      </c>
      <c r="L95" s="33">
        <f>I95-E95</f>
        <v/>
      </c>
      <c r="M95" s="33">
        <f>J95-F95</f>
        <v/>
      </c>
    </row>
    <row r="96">
      <c r="A96" s="12" t="inlineStr">
        <is>
          <t>浦和</t>
        </is>
      </c>
      <c r="B96" s="12" t="inlineStr">
        <is>
          <t>兵庫</t>
        </is>
      </c>
      <c r="C96" s="32" t="inlineStr">
        <is>
          <t>↓ 格下へ</t>
        </is>
      </c>
      <c r="D96" s="7" t="n">
        <v>142</v>
      </c>
      <c r="E96" s="8" t="n">
        <v>59.3</v>
      </c>
      <c r="F96" s="8" t="n">
        <v>36.8</v>
      </c>
      <c r="G96" s="30" t="n">
        <v>0.65</v>
      </c>
      <c r="H96" s="7" t="n">
        <v>148</v>
      </c>
      <c r="I96" s="8" t="n">
        <v>20.7</v>
      </c>
      <c r="J96" s="8" t="n">
        <v>19.5</v>
      </c>
      <c r="K96" s="30" t="n">
        <v>0.39</v>
      </c>
      <c r="L96" s="33">
        <f>I96-E96</f>
        <v/>
      </c>
      <c r="M96" s="33">
        <f>J96-F96</f>
        <v/>
      </c>
    </row>
    <row r="97">
      <c r="A97" s="12" t="inlineStr">
        <is>
          <t>兵庫</t>
        </is>
      </c>
      <c r="B97" s="12" t="inlineStr">
        <is>
          <t>金沢</t>
        </is>
      </c>
      <c r="C97" s="32" t="inlineStr">
        <is>
          <t>↓↓ 格下へ</t>
        </is>
      </c>
      <c r="D97" s="7" t="n">
        <v>544</v>
      </c>
      <c r="E97" s="8" t="n">
        <v>13.6</v>
      </c>
      <c r="F97" s="8" t="n">
        <v>37.9</v>
      </c>
      <c r="G97" s="30" t="n">
        <v>0.64</v>
      </c>
      <c r="H97" s="7" t="n">
        <v>548</v>
      </c>
      <c r="I97" s="8" t="n">
        <v>110.9</v>
      </c>
      <c r="J97" s="8" t="n">
        <v>103.2</v>
      </c>
      <c r="K97" s="30" t="n">
        <v>1.15</v>
      </c>
      <c r="L97" s="33">
        <f>I97-E97</f>
        <v/>
      </c>
      <c r="M97" s="33">
        <f>J97-F97</f>
        <v/>
      </c>
    </row>
    <row r="98">
      <c r="A98" s="12" t="inlineStr">
        <is>
          <t>浦和</t>
        </is>
      </c>
      <c r="B98" s="12" t="inlineStr">
        <is>
          <t>岩手</t>
        </is>
      </c>
      <c r="C98" s="32" t="inlineStr">
        <is>
          <t>↓↓ 格下へ</t>
        </is>
      </c>
      <c r="D98" s="7" t="n">
        <v>473</v>
      </c>
      <c r="E98" s="8" t="n">
        <v>17.6</v>
      </c>
      <c r="F98" s="8" t="n">
        <v>28.2</v>
      </c>
      <c r="G98" s="30" t="n">
        <v>0.44</v>
      </c>
      <c r="H98" s="7" t="n">
        <v>474</v>
      </c>
      <c r="I98" s="8" t="n">
        <v>116.1</v>
      </c>
      <c r="J98" s="8" t="n">
        <v>92.7</v>
      </c>
      <c r="K98" s="30" t="n">
        <v>0.97</v>
      </c>
      <c r="L98" s="33">
        <f>I98-E98</f>
        <v/>
      </c>
      <c r="M98" s="33">
        <f>J98-F98</f>
        <v/>
      </c>
    </row>
    <row r="99">
      <c r="A99" s="12" t="inlineStr">
        <is>
          <t>高知</t>
        </is>
      </c>
      <c r="B99" s="12" t="inlineStr">
        <is>
          <t>金沢</t>
        </is>
      </c>
      <c r="C99" s="32" t="inlineStr">
        <is>
          <t>↓↓ 格下へ</t>
        </is>
      </c>
      <c r="D99" s="7" t="n">
        <v>533</v>
      </c>
      <c r="E99" s="8" t="n">
        <v>25.4</v>
      </c>
      <c r="F99" s="8" t="n">
        <v>46.1</v>
      </c>
      <c r="G99" s="30" t="n">
        <v>0.75</v>
      </c>
      <c r="H99" s="7" t="n">
        <v>507</v>
      </c>
      <c r="I99" s="8" t="n">
        <v>112.6</v>
      </c>
      <c r="J99" s="8" t="n">
        <v>84.59999999999999</v>
      </c>
      <c r="K99" s="30" t="n">
        <v>1.06</v>
      </c>
      <c r="L99" s="33">
        <f>I99-E99</f>
        <v/>
      </c>
      <c r="M99" s="33">
        <f>J99-F99</f>
        <v/>
      </c>
    </row>
    <row r="100">
      <c r="A100" s="12" t="inlineStr">
        <is>
          <t>高知</t>
        </is>
      </c>
      <c r="B100" s="12" t="inlineStr">
        <is>
          <t>佐賀</t>
        </is>
      </c>
      <c r="C100" s="32" t="inlineStr">
        <is>
          <t>↓↓ 格下へ</t>
        </is>
      </c>
      <c r="D100" s="7" t="n">
        <v>730</v>
      </c>
      <c r="E100" s="8" t="n">
        <v>38.1</v>
      </c>
      <c r="F100" s="8" t="n">
        <v>36.4</v>
      </c>
      <c r="G100" s="30" t="n">
        <v>0.61</v>
      </c>
      <c r="H100" s="7" t="n">
        <v>703</v>
      </c>
      <c r="I100" s="8" t="n">
        <v>70.8</v>
      </c>
      <c r="J100" s="8" t="n">
        <v>81.90000000000001</v>
      </c>
      <c r="K100" s="30" t="n">
        <v>1.05</v>
      </c>
      <c r="L100" s="33">
        <f>I100-E100</f>
        <v/>
      </c>
      <c r="M100" s="33">
        <f>J100-F100</f>
        <v/>
      </c>
    </row>
    <row r="101">
      <c r="A101" s="12" t="inlineStr">
        <is>
          <t>川崎</t>
        </is>
      </c>
      <c r="B101" s="12" t="inlineStr">
        <is>
          <t>岩手</t>
        </is>
      </c>
      <c r="C101" s="32" t="inlineStr">
        <is>
          <t>↓↓ 格下へ</t>
        </is>
      </c>
      <c r="D101" s="7" t="n">
        <v>636</v>
      </c>
      <c r="E101" s="8" t="n">
        <v>10.4</v>
      </c>
      <c r="F101" s="8" t="n">
        <v>20.4</v>
      </c>
      <c r="G101" s="30" t="n">
        <v>0.41</v>
      </c>
      <c r="H101" s="7" t="n">
        <v>613</v>
      </c>
      <c r="I101" s="8" t="n">
        <v>105</v>
      </c>
      <c r="J101" s="8" t="n">
        <v>80.8</v>
      </c>
      <c r="K101" s="30" t="n">
        <v>1.01</v>
      </c>
      <c r="L101" s="33">
        <f>I101-E101</f>
        <v/>
      </c>
      <c r="M101" s="33">
        <f>J101-F101</f>
        <v/>
      </c>
    </row>
    <row r="102">
      <c r="A102" s="12" t="inlineStr">
        <is>
          <t>兵庫</t>
        </is>
      </c>
      <c r="B102" s="12" t="inlineStr">
        <is>
          <t>佐賀</t>
        </is>
      </c>
      <c r="C102" s="32" t="inlineStr">
        <is>
          <t>↓↓ 格下へ</t>
        </is>
      </c>
      <c r="D102" s="7" t="n">
        <v>630</v>
      </c>
      <c r="E102" s="8" t="n">
        <v>30.3</v>
      </c>
      <c r="F102" s="8" t="n">
        <v>31.3</v>
      </c>
      <c r="G102" s="30" t="n">
        <v>0.63</v>
      </c>
      <c r="H102" s="7" t="n">
        <v>631</v>
      </c>
      <c r="I102" s="8" t="n">
        <v>77.3</v>
      </c>
      <c r="J102" s="8" t="n">
        <v>79.90000000000001</v>
      </c>
      <c r="K102" s="30" t="n">
        <v>1.06</v>
      </c>
      <c r="L102" s="33">
        <f>I102-E102</f>
        <v/>
      </c>
      <c r="M102" s="33">
        <f>J102-F102</f>
        <v/>
      </c>
    </row>
    <row r="103">
      <c r="A103" s="12" t="inlineStr">
        <is>
          <t>大井</t>
        </is>
      </c>
      <c r="B103" s="12" t="inlineStr">
        <is>
          <t>岩手</t>
        </is>
      </c>
      <c r="C103" s="32" t="inlineStr">
        <is>
          <t>↓↓ 格下へ</t>
        </is>
      </c>
      <c r="D103" s="7" t="n">
        <v>663</v>
      </c>
      <c r="E103" s="8" t="n">
        <v>7.3</v>
      </c>
      <c r="F103" s="8" t="n">
        <v>22</v>
      </c>
      <c r="G103" s="30" t="n">
        <v>0.5</v>
      </c>
      <c r="H103" s="7" t="n">
        <v>664</v>
      </c>
      <c r="I103" s="8" t="n">
        <v>59.4</v>
      </c>
      <c r="J103" s="8" t="n">
        <v>79</v>
      </c>
      <c r="K103" s="30" t="n">
        <v>1.02</v>
      </c>
      <c r="L103" s="33">
        <f>I103-E103</f>
        <v/>
      </c>
      <c r="M103" s="33">
        <f>J103-F103</f>
        <v/>
      </c>
    </row>
    <row r="104">
      <c r="A104" s="12" t="inlineStr">
        <is>
          <t>高知</t>
        </is>
      </c>
      <c r="B104" s="12" t="inlineStr">
        <is>
          <t>笠松</t>
        </is>
      </c>
      <c r="C104" s="32" t="inlineStr">
        <is>
          <t>↓↓ 格下へ</t>
        </is>
      </c>
      <c r="D104" s="7" t="n">
        <v>139</v>
      </c>
      <c r="E104" s="8" t="n">
        <v>12.6</v>
      </c>
      <c r="F104" s="8" t="n">
        <v>39.3</v>
      </c>
      <c r="G104" s="30" t="n">
        <v>0.68</v>
      </c>
      <c r="H104" s="7" t="n">
        <v>139</v>
      </c>
      <c r="I104" s="8" t="n">
        <v>58.6</v>
      </c>
      <c r="J104" s="8" t="n">
        <v>77.90000000000001</v>
      </c>
      <c r="K104" s="30" t="n">
        <v>0.92</v>
      </c>
      <c r="L104" s="33">
        <f>I104-E104</f>
        <v/>
      </c>
      <c r="M104" s="33">
        <f>J104-F104</f>
        <v/>
      </c>
    </row>
    <row r="105">
      <c r="A105" s="12" t="inlineStr">
        <is>
          <t>川崎</t>
        </is>
      </c>
      <c r="B105" s="12" t="inlineStr">
        <is>
          <t>北海道</t>
        </is>
      </c>
      <c r="C105" s="32" t="inlineStr">
        <is>
          <t>↓↓ 格下へ</t>
        </is>
      </c>
      <c r="D105" s="7" t="n">
        <v>250</v>
      </c>
      <c r="E105" s="8" t="n">
        <v>23.8</v>
      </c>
      <c r="F105" s="8" t="n">
        <v>50.6</v>
      </c>
      <c r="G105" s="30" t="n">
        <v>0.77</v>
      </c>
      <c r="H105" s="7" t="n">
        <v>257</v>
      </c>
      <c r="I105" s="8" t="n">
        <v>30.4</v>
      </c>
      <c r="J105" s="8" t="n">
        <v>77.8</v>
      </c>
      <c r="K105" s="30" t="n">
        <v>1.04</v>
      </c>
      <c r="L105" s="33">
        <f>I105-E105</f>
        <v/>
      </c>
      <c r="M105" s="33">
        <f>J105-F105</f>
        <v/>
      </c>
    </row>
    <row r="106">
      <c r="A106" s="12" t="inlineStr">
        <is>
          <t>船橋</t>
        </is>
      </c>
      <c r="B106" s="12" t="inlineStr">
        <is>
          <t>岩手</t>
        </is>
      </c>
      <c r="C106" s="32" t="inlineStr">
        <is>
          <t>↓↓ 格下へ</t>
        </is>
      </c>
      <c r="D106" s="7" t="n">
        <v>465</v>
      </c>
      <c r="E106" s="8" t="n">
        <v>22.8</v>
      </c>
      <c r="F106" s="8" t="n">
        <v>19.9</v>
      </c>
      <c r="G106" s="30" t="n">
        <v>0.54</v>
      </c>
      <c r="H106" s="7" t="n">
        <v>471</v>
      </c>
      <c r="I106" s="8" t="n">
        <v>101.7</v>
      </c>
      <c r="J106" s="8" t="n">
        <v>72.59999999999999</v>
      </c>
      <c r="K106" s="30" t="n">
        <v>0.93</v>
      </c>
      <c r="L106" s="33">
        <f>I106-E106</f>
        <v/>
      </c>
      <c r="M106" s="33">
        <f>J106-F106</f>
        <v/>
      </c>
    </row>
    <row r="107">
      <c r="A107" s="12" t="inlineStr">
        <is>
          <t>大井</t>
        </is>
      </c>
      <c r="B107" s="12" t="inlineStr">
        <is>
          <t>愛知</t>
        </is>
      </c>
      <c r="C107" s="32" t="inlineStr">
        <is>
          <t>↓↓ 格下へ</t>
        </is>
      </c>
      <c r="D107" s="7" t="n">
        <v>335</v>
      </c>
      <c r="E107" s="8" t="n">
        <v>28</v>
      </c>
      <c r="F107" s="8" t="n">
        <v>32.4</v>
      </c>
      <c r="G107" s="30" t="n">
        <v>0.53</v>
      </c>
      <c r="H107" s="7" t="n">
        <v>338</v>
      </c>
      <c r="I107" s="8" t="n">
        <v>82.40000000000001</v>
      </c>
      <c r="J107" s="8" t="n">
        <v>71</v>
      </c>
      <c r="K107" s="30" t="n">
        <v>0.9399999999999999</v>
      </c>
      <c r="L107" s="33">
        <f>I107-E107</f>
        <v/>
      </c>
      <c r="M107" s="33">
        <f>J107-F107</f>
        <v/>
      </c>
    </row>
    <row r="108">
      <c r="A108" s="12" t="inlineStr">
        <is>
          <t>大井</t>
        </is>
      </c>
      <c r="B108" s="12" t="inlineStr">
        <is>
          <t>北海道</t>
        </is>
      </c>
      <c r="C108" s="32" t="inlineStr">
        <is>
          <t>↓↓ 格下へ</t>
        </is>
      </c>
      <c r="D108" s="7" t="n">
        <v>378</v>
      </c>
      <c r="E108" s="8" t="n">
        <v>52.6</v>
      </c>
      <c r="F108" s="8" t="n">
        <v>52</v>
      </c>
      <c r="G108" s="30" t="n">
        <v>0.64</v>
      </c>
      <c r="H108" s="7" t="n">
        <v>388</v>
      </c>
      <c r="I108" s="8" t="n">
        <v>42.2</v>
      </c>
      <c r="J108" s="8" t="n">
        <v>70.5</v>
      </c>
      <c r="K108" s="30" t="n">
        <v>0.96</v>
      </c>
      <c r="L108" s="33">
        <f>I108-E108</f>
        <v/>
      </c>
      <c r="M108" s="33">
        <f>J108-F108</f>
        <v/>
      </c>
    </row>
    <row r="109">
      <c r="A109" s="12" t="inlineStr">
        <is>
          <t>兵庫</t>
        </is>
      </c>
      <c r="B109" s="12" t="inlineStr">
        <is>
          <t>笠松</t>
        </is>
      </c>
      <c r="C109" s="32" t="inlineStr">
        <is>
          <t>↓↓ 格下へ</t>
        </is>
      </c>
      <c r="D109" s="7" t="n">
        <v>336</v>
      </c>
      <c r="E109" s="8" t="n">
        <v>21.3</v>
      </c>
      <c r="F109" s="8" t="n">
        <v>32.6</v>
      </c>
      <c r="G109" s="30" t="n">
        <v>0.51</v>
      </c>
      <c r="H109" s="7" t="n">
        <v>327</v>
      </c>
      <c r="I109" s="8" t="n">
        <v>60.4</v>
      </c>
      <c r="J109" s="8" t="n">
        <v>66.09999999999999</v>
      </c>
      <c r="K109" s="30" t="n">
        <v>0.99</v>
      </c>
      <c r="L109" s="33">
        <f>I109-E109</f>
        <v/>
      </c>
      <c r="M109" s="33">
        <f>J109-F109</f>
        <v/>
      </c>
    </row>
    <row r="110">
      <c r="A110" s="12" t="inlineStr">
        <is>
          <t>川崎</t>
        </is>
      </c>
      <c r="B110" s="12" t="inlineStr">
        <is>
          <t>愛知</t>
        </is>
      </c>
      <c r="C110" s="32" t="inlineStr">
        <is>
          <t>↓↓ 格下へ</t>
        </is>
      </c>
      <c r="D110" s="7" t="n">
        <v>332</v>
      </c>
      <c r="E110" s="8" t="n">
        <v>27.8</v>
      </c>
      <c r="F110" s="8" t="n">
        <v>35.1</v>
      </c>
      <c r="G110" s="30" t="n">
        <v>0.63</v>
      </c>
      <c r="H110" s="7" t="n">
        <v>319</v>
      </c>
      <c r="I110" s="8" t="n">
        <v>125.4</v>
      </c>
      <c r="J110" s="8" t="n">
        <v>64.09999999999999</v>
      </c>
      <c r="K110" s="30" t="n">
        <v>0.9399999999999999</v>
      </c>
      <c r="L110" s="33">
        <f>I110-E110</f>
        <v/>
      </c>
      <c r="M110" s="33">
        <f>J110-F110</f>
        <v/>
      </c>
    </row>
    <row r="111">
      <c r="A111" s="12" t="inlineStr">
        <is>
          <t>浦和</t>
        </is>
      </c>
      <c r="B111" s="12" t="inlineStr">
        <is>
          <t>北海道</t>
        </is>
      </c>
      <c r="C111" s="32" t="inlineStr">
        <is>
          <t>↓↓ 格下へ</t>
        </is>
      </c>
      <c r="D111" s="7" t="n">
        <v>191</v>
      </c>
      <c r="E111" s="8" t="n">
        <v>17.1</v>
      </c>
      <c r="F111" s="8" t="n">
        <v>40</v>
      </c>
      <c r="G111" s="30" t="n">
        <v>0.58</v>
      </c>
      <c r="H111" s="7" t="n">
        <v>186</v>
      </c>
      <c r="I111" s="8" t="n">
        <v>98.90000000000001</v>
      </c>
      <c r="J111" s="8" t="n">
        <v>60.6</v>
      </c>
      <c r="K111" s="30" t="n">
        <v>0.91</v>
      </c>
      <c r="L111" s="33">
        <f>I111-E111</f>
        <v/>
      </c>
      <c r="M111" s="33">
        <f>J111-F111</f>
        <v/>
      </c>
    </row>
    <row r="112">
      <c r="A112" s="12" t="inlineStr">
        <is>
          <t>船橋</t>
        </is>
      </c>
      <c r="B112" s="12" t="inlineStr">
        <is>
          <t>愛知</t>
        </is>
      </c>
      <c r="C112" s="32" t="inlineStr">
        <is>
          <t>↓↓ 格下へ</t>
        </is>
      </c>
      <c r="D112" s="7" t="n">
        <v>339</v>
      </c>
      <c r="E112" s="8" t="n">
        <v>11.1</v>
      </c>
      <c r="F112" s="8" t="n">
        <v>23.3</v>
      </c>
      <c r="G112" s="30" t="n">
        <v>0.46</v>
      </c>
      <c r="H112" s="7" t="n">
        <v>327</v>
      </c>
      <c r="I112" s="8" t="n">
        <v>106</v>
      </c>
      <c r="J112" s="8" t="n">
        <v>59.1</v>
      </c>
      <c r="K112" s="30" t="n">
        <v>0.83</v>
      </c>
      <c r="L112" s="33">
        <f>I112-E112</f>
        <v/>
      </c>
      <c r="M112" s="33">
        <f>J112-F112</f>
        <v/>
      </c>
    </row>
    <row r="113">
      <c r="A113" s="12" t="inlineStr">
        <is>
          <t>船橋</t>
        </is>
      </c>
      <c r="B113" s="12" t="inlineStr">
        <is>
          <t>北海道</t>
        </is>
      </c>
      <c r="C113" s="32" t="inlineStr">
        <is>
          <t>↓↓ 格下へ</t>
        </is>
      </c>
      <c r="D113" s="7" t="n">
        <v>296</v>
      </c>
      <c r="E113" s="8" t="n">
        <v>37.8</v>
      </c>
      <c r="F113" s="8" t="n">
        <v>49</v>
      </c>
      <c r="G113" s="30" t="n">
        <v>0.82</v>
      </c>
      <c r="H113" s="7" t="n">
        <v>296</v>
      </c>
      <c r="I113" s="8" t="n">
        <v>49.6</v>
      </c>
      <c r="J113" s="8" t="n">
        <v>58.3</v>
      </c>
      <c r="K113" s="30" t="n">
        <v>0.93</v>
      </c>
      <c r="L113" s="33">
        <f>I113-E113</f>
        <v/>
      </c>
      <c r="M113" s="33">
        <f>J113-F113</f>
        <v/>
      </c>
    </row>
    <row r="114">
      <c r="A114" s="12" t="inlineStr">
        <is>
          <t>浦和</t>
        </is>
      </c>
      <c r="B114" s="12" t="inlineStr">
        <is>
          <t>愛知</t>
        </is>
      </c>
      <c r="C114" s="32" t="inlineStr">
        <is>
          <t>↓↓ 格下へ</t>
        </is>
      </c>
      <c r="D114" s="7" t="n">
        <v>251</v>
      </c>
      <c r="E114" s="8" t="n">
        <v>11.2</v>
      </c>
      <c r="F114" s="8" t="n">
        <v>27.7</v>
      </c>
      <c r="G114" s="30" t="n">
        <v>0.47</v>
      </c>
      <c r="H114" s="7" t="n">
        <v>235</v>
      </c>
      <c r="I114" s="8" t="n">
        <v>23.4</v>
      </c>
      <c r="J114" s="8" t="n">
        <v>33.8</v>
      </c>
      <c r="K114" s="30" t="n">
        <v>0.74</v>
      </c>
      <c r="L114" s="33">
        <f>I114-E114</f>
        <v/>
      </c>
      <c r="M114" s="33">
        <f>J114-F114</f>
        <v/>
      </c>
    </row>
    <row r="115">
      <c r="A115" s="12" t="inlineStr">
        <is>
          <t>大井</t>
        </is>
      </c>
      <c r="B115" s="12" t="inlineStr">
        <is>
          <t>佐賀</t>
        </is>
      </c>
      <c r="C115" s="32" t="inlineStr">
        <is>
          <t>↓↓ 格下へ</t>
        </is>
      </c>
      <c r="D115" s="7" t="n">
        <v>402</v>
      </c>
      <c r="E115" s="8" t="n">
        <v>6.8</v>
      </c>
      <c r="F115" s="8" t="n">
        <v>26.3</v>
      </c>
      <c r="G115" s="30" t="n">
        <v>0.44</v>
      </c>
      <c r="H115" s="7" t="n">
        <v>404</v>
      </c>
      <c r="I115" s="8" t="n">
        <v>82.3</v>
      </c>
      <c r="J115" s="8" t="n">
        <v>98.3</v>
      </c>
      <c r="K115" s="30" t="n">
        <v>1.1</v>
      </c>
      <c r="L115" s="33">
        <f>I115-E115</f>
        <v/>
      </c>
      <c r="M115" s="33">
        <f>J115-F115</f>
        <v/>
      </c>
    </row>
    <row r="116">
      <c r="A116" s="12" t="inlineStr">
        <is>
          <t>大井</t>
        </is>
      </c>
      <c r="B116" s="12" t="inlineStr">
        <is>
          <t>金沢</t>
        </is>
      </c>
      <c r="C116" s="32" t="inlineStr">
        <is>
          <t>↓↓ 格下へ</t>
        </is>
      </c>
      <c r="D116" s="7" t="n">
        <v>379</v>
      </c>
      <c r="E116" s="8" t="n">
        <v>29.6</v>
      </c>
      <c r="F116" s="8" t="n">
        <v>30.9</v>
      </c>
      <c r="G116" s="30" t="n">
        <v>0.67</v>
      </c>
      <c r="H116" s="7" t="n">
        <v>387</v>
      </c>
      <c r="I116" s="8" t="n">
        <v>104.3</v>
      </c>
      <c r="J116" s="8" t="n">
        <v>85.59999999999999</v>
      </c>
      <c r="K116" s="30" t="n">
        <v>1.07</v>
      </c>
      <c r="L116" s="33">
        <f>I116-E116</f>
        <v/>
      </c>
      <c r="M116" s="33">
        <f>J116-F116</f>
        <v/>
      </c>
    </row>
    <row r="117">
      <c r="A117" s="12" t="inlineStr">
        <is>
          <t>川崎</t>
        </is>
      </c>
      <c r="B117" s="12" t="inlineStr">
        <is>
          <t>笠松</t>
        </is>
      </c>
      <c r="C117" s="32" t="inlineStr">
        <is>
          <t>↓↓ 格下へ</t>
        </is>
      </c>
      <c r="D117" s="7" t="n">
        <v>148</v>
      </c>
      <c r="E117" s="8" t="n">
        <v>19.3</v>
      </c>
      <c r="F117" s="8" t="n">
        <v>34</v>
      </c>
      <c r="G117" s="30" t="n">
        <v>0.61</v>
      </c>
      <c r="H117" s="7" t="n">
        <v>152</v>
      </c>
      <c r="I117" s="8" t="n">
        <v>166.6</v>
      </c>
      <c r="J117" s="8" t="n">
        <v>79.7</v>
      </c>
      <c r="K117" s="30" t="n">
        <v>1.03</v>
      </c>
      <c r="L117" s="33">
        <f>I117-E117</f>
        <v/>
      </c>
      <c r="M117" s="33">
        <f>J117-F117</f>
        <v/>
      </c>
    </row>
    <row r="118">
      <c r="A118" s="12" t="inlineStr">
        <is>
          <t>川崎</t>
        </is>
      </c>
      <c r="B118" s="12" t="inlineStr">
        <is>
          <t>金沢</t>
        </is>
      </c>
      <c r="C118" s="32" t="inlineStr">
        <is>
          <t>↓↓ 格下へ</t>
        </is>
      </c>
      <c r="D118" s="7" t="n">
        <v>195</v>
      </c>
      <c r="E118" s="8" t="n">
        <v>47.8</v>
      </c>
      <c r="F118" s="8" t="n">
        <v>31.9</v>
      </c>
      <c r="G118" s="30" t="n">
        <v>0.47</v>
      </c>
      <c r="H118" s="7" t="n">
        <v>183</v>
      </c>
      <c r="I118" s="8" t="n">
        <v>79.2</v>
      </c>
      <c r="J118" s="8" t="n">
        <v>76</v>
      </c>
      <c r="K118" s="30" t="n">
        <v>1.02</v>
      </c>
      <c r="L118" s="33">
        <f>I118-E118</f>
        <v/>
      </c>
      <c r="M118" s="33">
        <f>J118-F118</f>
        <v/>
      </c>
    </row>
    <row r="119">
      <c r="A119" s="12" t="inlineStr">
        <is>
          <t>大井</t>
        </is>
      </c>
      <c r="B119" s="12" t="inlineStr">
        <is>
          <t>笠松</t>
        </is>
      </c>
      <c r="C119" s="32" t="inlineStr">
        <is>
          <t>↓↓ 格下へ</t>
        </is>
      </c>
      <c r="D119" s="7" t="n">
        <v>210</v>
      </c>
      <c r="E119" s="8" t="n">
        <v>14</v>
      </c>
      <c r="F119" s="8" t="n">
        <v>27.6</v>
      </c>
      <c r="G119" s="30" t="n">
        <v>0.51</v>
      </c>
      <c r="H119" s="7" t="n">
        <v>206</v>
      </c>
      <c r="I119" s="8" t="n">
        <v>55.1</v>
      </c>
      <c r="J119" s="8" t="n">
        <v>73.2</v>
      </c>
      <c r="K119" s="30" t="n">
        <v>1.01</v>
      </c>
      <c r="L119" s="33">
        <f>I119-E119</f>
        <v/>
      </c>
      <c r="M119" s="33">
        <f>J119-F119</f>
        <v/>
      </c>
    </row>
    <row r="120">
      <c r="A120" s="12" t="inlineStr">
        <is>
          <t>浦和</t>
        </is>
      </c>
      <c r="B120" s="12" t="inlineStr">
        <is>
          <t>金沢</t>
        </is>
      </c>
      <c r="C120" s="32" t="inlineStr">
        <is>
          <t>↓↓ 格下へ</t>
        </is>
      </c>
      <c r="D120" s="7" t="n">
        <v>198</v>
      </c>
      <c r="E120" s="8" t="n">
        <v>25.6</v>
      </c>
      <c r="F120" s="8" t="n">
        <v>21.9</v>
      </c>
      <c r="G120" s="30" t="n">
        <v>0.43</v>
      </c>
      <c r="H120" s="7" t="n">
        <v>212</v>
      </c>
      <c r="I120" s="8" t="n">
        <v>37.4</v>
      </c>
      <c r="J120" s="8" t="n">
        <v>71</v>
      </c>
      <c r="K120" s="30" t="n">
        <v>1</v>
      </c>
      <c r="L120" s="33">
        <f>I120-E120</f>
        <v/>
      </c>
      <c r="M120" s="33">
        <f>J120-F120</f>
        <v/>
      </c>
    </row>
    <row r="121">
      <c r="A121" s="12" t="inlineStr">
        <is>
          <t>船橋</t>
        </is>
      </c>
      <c r="B121" s="12" t="inlineStr">
        <is>
          <t>笠松</t>
        </is>
      </c>
      <c r="C121" s="32" t="inlineStr">
        <is>
          <t>↓↓ 格下へ</t>
        </is>
      </c>
      <c r="D121" s="7" t="n">
        <v>116</v>
      </c>
      <c r="E121" s="8" t="n">
        <v>5.4</v>
      </c>
      <c r="F121" s="8" t="n">
        <v>17.3</v>
      </c>
      <c r="G121" s="30" t="n">
        <v>0.46</v>
      </c>
      <c r="H121" s="7" t="n">
        <v>120</v>
      </c>
      <c r="I121" s="8" t="n">
        <v>89.09999999999999</v>
      </c>
      <c r="J121" s="8" t="n">
        <v>68.7</v>
      </c>
      <c r="K121" s="30" t="n">
        <v>0.9399999999999999</v>
      </c>
      <c r="L121" s="33">
        <f>I121-E121</f>
        <v/>
      </c>
      <c r="M121" s="33">
        <f>J121-F121</f>
        <v/>
      </c>
    </row>
    <row r="122">
      <c r="A122" s="12" t="inlineStr">
        <is>
          <t>船橋</t>
        </is>
      </c>
      <c r="B122" s="12" t="inlineStr">
        <is>
          <t>金沢</t>
        </is>
      </c>
      <c r="C122" s="32" t="inlineStr">
        <is>
          <t>↓↓ 格下へ</t>
        </is>
      </c>
      <c r="D122" s="7" t="n">
        <v>239</v>
      </c>
      <c r="E122" s="8" t="n">
        <v>38</v>
      </c>
      <c r="F122" s="8" t="n">
        <v>29.2</v>
      </c>
      <c r="G122" s="30" t="n">
        <v>0.53</v>
      </c>
      <c r="H122" s="7" t="n">
        <v>242</v>
      </c>
      <c r="I122" s="8" t="n">
        <v>64.7</v>
      </c>
      <c r="J122" s="8" t="n">
        <v>68</v>
      </c>
      <c r="K122" s="30" t="n">
        <v>0.97</v>
      </c>
      <c r="L122" s="33">
        <f>I122-E122</f>
        <v/>
      </c>
      <c r="M122" s="33">
        <f>J122-F122</f>
        <v/>
      </c>
    </row>
    <row r="123">
      <c r="A123" s="12" t="inlineStr">
        <is>
          <t>浦和</t>
        </is>
      </c>
      <c r="B123" s="12" t="inlineStr">
        <is>
          <t>笠松</t>
        </is>
      </c>
      <c r="C123" s="32" t="inlineStr">
        <is>
          <t>↓↓ 格下へ</t>
        </is>
      </c>
      <c r="D123" s="7" t="n">
        <v>177</v>
      </c>
      <c r="E123" s="8" t="n">
        <v>4.5</v>
      </c>
      <c r="F123" s="8" t="n">
        <v>42.8</v>
      </c>
      <c r="G123" s="30" t="n">
        <v>0.5</v>
      </c>
      <c r="H123" s="7" t="n">
        <v>163</v>
      </c>
      <c r="I123" s="8" t="n">
        <v>95.59999999999999</v>
      </c>
      <c r="J123" s="8" t="n">
        <v>67.7</v>
      </c>
      <c r="K123" s="30" t="n">
        <v>0.86</v>
      </c>
      <c r="L123" s="33">
        <f>I123-E123</f>
        <v/>
      </c>
      <c r="M123" s="33">
        <f>J123-F123</f>
        <v/>
      </c>
    </row>
    <row r="124">
      <c r="A124" s="12" t="inlineStr">
        <is>
          <t>浦和</t>
        </is>
      </c>
      <c r="B124" s="12" t="inlineStr">
        <is>
          <t>佐賀</t>
        </is>
      </c>
      <c r="C124" s="32" t="inlineStr">
        <is>
          <t>↓↓ 格下へ</t>
        </is>
      </c>
      <c r="D124" s="7" t="n">
        <v>180</v>
      </c>
      <c r="E124" s="8" t="n">
        <v>11.8</v>
      </c>
      <c r="F124" s="8" t="n">
        <v>29.1</v>
      </c>
      <c r="G124" s="30" t="n">
        <v>0.47</v>
      </c>
      <c r="H124" s="7" t="n">
        <v>185</v>
      </c>
      <c r="I124" s="8" t="n">
        <v>38.9</v>
      </c>
      <c r="J124" s="8" t="n">
        <v>63.8</v>
      </c>
      <c r="K124" s="30" t="n">
        <v>0.93</v>
      </c>
      <c r="L124" s="33">
        <f>I124-E124</f>
        <v/>
      </c>
      <c r="M124" s="33">
        <f>J124-F124</f>
        <v/>
      </c>
    </row>
    <row r="125">
      <c r="A125" s="12" t="inlineStr">
        <is>
          <t>川崎</t>
        </is>
      </c>
      <c r="B125" s="12" t="inlineStr">
        <is>
          <t>佐賀</t>
        </is>
      </c>
      <c r="C125" s="32" t="inlineStr">
        <is>
          <t>↓↓ 格下へ</t>
        </is>
      </c>
      <c r="D125" s="7" t="n">
        <v>225</v>
      </c>
      <c r="E125" s="8" t="n">
        <v>47.6</v>
      </c>
      <c r="F125" s="8" t="n">
        <v>29.8</v>
      </c>
      <c r="G125" s="30" t="n">
        <v>0.48</v>
      </c>
      <c r="H125" s="7" t="n">
        <v>221</v>
      </c>
      <c r="I125" s="8" t="n">
        <v>54</v>
      </c>
      <c r="J125" s="8" t="n">
        <v>56.1</v>
      </c>
      <c r="K125" s="30" t="n">
        <v>0.88</v>
      </c>
      <c r="L125" s="33">
        <f>I125-E125</f>
        <v/>
      </c>
      <c r="M125" s="33">
        <f>J125-F125</f>
        <v/>
      </c>
    </row>
    <row r="126">
      <c r="A126" s="12" t="inlineStr">
        <is>
          <t>船橋</t>
        </is>
      </c>
      <c r="B126" s="12" t="inlineStr">
        <is>
          <t>佐賀</t>
        </is>
      </c>
      <c r="C126" s="32" t="inlineStr">
        <is>
          <t>↓↓ 格下へ</t>
        </is>
      </c>
      <c r="D126" s="7" t="n">
        <v>177</v>
      </c>
      <c r="E126" s="8" t="n">
        <v>11.1</v>
      </c>
      <c r="F126" s="8" t="n">
        <v>24.1</v>
      </c>
      <c r="G126" s="30" t="n">
        <v>0.37</v>
      </c>
      <c r="H126" s="7" t="n">
        <v>176</v>
      </c>
      <c r="I126" s="8" t="n">
        <v>65.7</v>
      </c>
      <c r="J126" s="8" t="n">
        <v>55.3</v>
      </c>
      <c r="K126" s="30" t="n">
        <v>0.85</v>
      </c>
      <c r="L126" s="33">
        <f>I126-E126</f>
        <v/>
      </c>
      <c r="M126" s="33">
        <f>J126-F126</f>
        <v/>
      </c>
    </row>
  </sheetData>
  <autoFilter ref="A4:M126"/>
  <conditionalFormatting sqref="K5:K126">
    <cfRule type="colorScale" priority="1">
      <colorScale>
        <cfvo type="min"/>
        <cfvo type="num" val="1"/>
        <cfvo type="max"/>
        <color rgb="00F8696B"/>
        <color rgb="00FFFFFF"/>
        <color rgb="0063BE7B"/>
      </colorScale>
    </cfRule>
  </conditionalFormatting>
  <conditionalFormatting sqref="J5:J126">
    <cfRule type="colorScale" priority="2">
      <colorScale>
        <cfvo type="min"/>
        <cfvo type="num" val="7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2026-10-13T21:24:04Z</dcterms:created>
  <dcterms:modified xsi:type="dcterms:W3CDTF">2026-10-13T21:24:05Z</dcterms:modified>
</cp:coreProperties>
</file>